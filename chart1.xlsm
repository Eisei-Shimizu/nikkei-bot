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iseiShimizu\git\nikkei-bot\"/>
    </mc:Choice>
  </mc:AlternateContent>
  <xr:revisionPtr revIDLastSave="0" documentId="13_ncr:1_{B1DD43BF-F13A-4908-A1B5-85BC89555B51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クォート" sheetId="1" r:id="rId1"/>
    <sheet name="板" sheetId="2" r:id="rId2"/>
    <sheet name="四本値" sheetId="3" r:id="rId3"/>
    <sheet name="歩み値" sheetId="8" r:id="rId4"/>
    <sheet name="注文" sheetId="10" r:id="rId5"/>
  </sheets>
  <externalReferences>
    <externalReference r:id="rId6"/>
    <externalReference r:id="rId7"/>
  </externalReferences>
  <definedNames>
    <definedName name="Dlog_bk_prj_id">"エディット 12"</definedName>
    <definedName name="Dlog_bk_prj_name">"エディット 13"</definedName>
    <definedName name="Dlog_bk_sht_id">"エディット 14"</definedName>
    <definedName name="Dlog_sh_sht_name">"ドロップ 95"</definedName>
    <definedName name="シート選択見だし">"ラベル 5"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9" i="8" l="1"/>
  <c r="N5" i="8"/>
  <c r="N1" i="8"/>
  <c r="N8" i="8"/>
  <c r="N4" i="8"/>
  <c r="N2" i="8"/>
  <c r="N7" i="8"/>
  <c r="N3" i="8"/>
  <c r="N6" i="8"/>
  <c r="D12" i="2"/>
  <c r="C8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E3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D3" i="2"/>
  <c r="D23" i="2"/>
  <c r="D22" i="2"/>
  <c r="D21" i="2"/>
  <c r="D20" i="2"/>
  <c r="D19" i="2"/>
  <c r="D18" i="2"/>
  <c r="D17" i="2"/>
  <c r="D16" i="2"/>
  <c r="D15" i="2"/>
  <c r="D14" i="2"/>
  <c r="D13" i="2"/>
  <c r="D11" i="2"/>
  <c r="D10" i="2"/>
  <c r="D9" i="2"/>
  <c r="D8" i="2"/>
  <c r="C7" i="2"/>
  <c r="C2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E5" i="2"/>
  <c r="C5" i="2" s="1"/>
  <c r="B5" i="2"/>
  <c r="D16" i="1"/>
  <c r="D12" i="1"/>
  <c r="B10" i="1"/>
  <c r="B8" i="1"/>
  <c r="D5" i="1"/>
  <c r="B4" i="2"/>
  <c r="B16" i="1"/>
  <c r="B15" i="1"/>
  <c r="E10" i="1"/>
  <c r="C9" i="1"/>
  <c r="C7" i="1"/>
  <c r="G3" i="1"/>
  <c r="B43" i="10"/>
  <c r="A41" i="10" s="1"/>
  <c r="F16" i="1"/>
  <c r="A16" i="1"/>
  <c r="A15" i="1"/>
  <c r="A13" i="1"/>
  <c r="A12" i="1"/>
  <c r="D10" i="1"/>
  <c r="F9" i="1"/>
  <c r="B9" i="1"/>
  <c r="D8" i="1"/>
  <c r="F7" i="1"/>
  <c r="B7" i="1"/>
  <c r="G4" i="1"/>
  <c r="E3" i="1"/>
  <c r="E16" i="1"/>
  <c r="F15" i="1"/>
  <c r="F13" i="1"/>
  <c r="F12" i="1"/>
  <c r="G10" i="1"/>
  <c r="C10" i="1"/>
  <c r="E9" i="1"/>
  <c r="G8" i="1"/>
  <c r="C8" i="1"/>
  <c r="E7" i="1"/>
  <c r="G5" i="1"/>
  <c r="D4" i="1"/>
  <c r="D3" i="1"/>
  <c r="A26" i="10"/>
  <c r="D15" i="1"/>
  <c r="D13" i="1"/>
  <c r="F10" i="1"/>
  <c r="D9" i="1"/>
  <c r="F8" i="1"/>
  <c r="D7" i="1"/>
  <c r="B4" i="1"/>
  <c r="D2" i="1"/>
  <c r="A2" i="10"/>
  <c r="B13" i="1"/>
  <c r="B12" i="1"/>
  <c r="G9" i="1"/>
  <c r="E8" i="1"/>
  <c r="G7" i="1"/>
  <c r="B5" i="1"/>
  <c r="B3" i="1"/>
  <c r="G24" i="1"/>
  <c r="M5" i="3" a="1"/>
  <c r="M1" i="3" a="1"/>
  <c r="M3" i="3" a="1"/>
  <c r="M6" i="3" a="1"/>
  <c r="M2" i="3" a="1"/>
  <c r="M7" i="3" a="1"/>
  <c r="M4" i="3" a="1"/>
  <c r="M8" i="3" a="1"/>
  <c r="M3" i="3" l="1"/>
  <c r="M4" i="3"/>
  <c r="M6" i="3"/>
  <c r="M1" i="3"/>
  <c r="M7" i="3"/>
  <c r="M2" i="3"/>
  <c r="M5" i="3"/>
  <c r="M8" i="3"/>
</calcChain>
</file>

<file path=xl/sharedStrings.xml><?xml version="1.0" encoding="utf-8"?>
<sst xmlns="http://schemas.openxmlformats.org/spreadsheetml/2006/main" count="330" uniqueCount="134">
  <si>
    <t>クォート</t>
    <phoneticPr fontId="2"/>
  </si>
  <si>
    <t>現在値</t>
    <rPh sb="0" eb="2">
      <t>ゲンザイ</t>
    </rPh>
    <rPh sb="2" eb="3">
      <t>ネ</t>
    </rPh>
    <phoneticPr fontId="2"/>
  </si>
  <si>
    <t>売買代金</t>
    <rPh sb="0" eb="2">
      <t>バイバイ</t>
    </rPh>
    <rPh sb="2" eb="4">
      <t>ダイキン</t>
    </rPh>
    <phoneticPr fontId="2"/>
  </si>
  <si>
    <t>前日終値</t>
    <rPh sb="0" eb="2">
      <t>ゼンジツ</t>
    </rPh>
    <rPh sb="2" eb="4">
      <t>オワリネ</t>
    </rPh>
    <phoneticPr fontId="2"/>
  </si>
  <si>
    <t>日通し</t>
    <rPh sb="0" eb="1">
      <t>ヒ</t>
    </rPh>
    <rPh sb="1" eb="2">
      <t>ドオ</t>
    </rPh>
    <phoneticPr fontId="2"/>
  </si>
  <si>
    <t>始値</t>
    <rPh sb="0" eb="1">
      <t>ハジメ</t>
    </rPh>
    <rPh sb="1" eb="2">
      <t>ネ</t>
    </rPh>
    <phoneticPr fontId="2"/>
  </si>
  <si>
    <t>高値</t>
    <rPh sb="0" eb="2">
      <t>タカネ</t>
    </rPh>
    <phoneticPr fontId="2"/>
  </si>
  <si>
    <t>安値</t>
    <rPh sb="0" eb="2">
      <t>ヤスネ</t>
    </rPh>
    <phoneticPr fontId="2"/>
  </si>
  <si>
    <t>終値</t>
    <rPh sb="0" eb="2">
      <t>オワリネ</t>
    </rPh>
    <phoneticPr fontId="2"/>
  </si>
  <si>
    <t>値幅</t>
    <rPh sb="0" eb="2">
      <t>ネハバ</t>
    </rPh>
    <phoneticPr fontId="2"/>
  </si>
  <si>
    <t>上場来高値</t>
    <rPh sb="0" eb="2">
      <t>ジョウジョウ</t>
    </rPh>
    <rPh sb="2" eb="3">
      <t>ライ</t>
    </rPh>
    <rPh sb="3" eb="5">
      <t>タカネ</t>
    </rPh>
    <phoneticPr fontId="2"/>
  </si>
  <si>
    <t>SQ情報</t>
    <rPh sb="2" eb="4">
      <t>ジョウホウ</t>
    </rPh>
    <phoneticPr fontId="2"/>
  </si>
  <si>
    <t>日経平均年初来高値</t>
    <rPh sb="0" eb="2">
      <t>ニッケイ</t>
    </rPh>
    <rPh sb="2" eb="4">
      <t>ヘイキン</t>
    </rPh>
    <rPh sb="4" eb="7">
      <t>ネンショライ</t>
    </rPh>
    <rPh sb="7" eb="9">
      <t>タカネ</t>
    </rPh>
    <phoneticPr fontId="2"/>
  </si>
  <si>
    <t>最良気配</t>
    <rPh sb="0" eb="2">
      <t>サイリョウ</t>
    </rPh>
    <rPh sb="2" eb="4">
      <t>ケハイ</t>
    </rPh>
    <phoneticPr fontId="2"/>
  </si>
  <si>
    <t>上場来安値</t>
    <rPh sb="0" eb="2">
      <t>ジョウジョウ</t>
    </rPh>
    <rPh sb="2" eb="3">
      <t>ライ</t>
    </rPh>
    <rPh sb="3" eb="5">
      <t>ヤスネ</t>
    </rPh>
    <phoneticPr fontId="2"/>
  </si>
  <si>
    <t>日経平均</t>
    <rPh sb="0" eb="2">
      <t>ニッケイ</t>
    </rPh>
    <rPh sb="2" eb="4">
      <t>ヘイキン</t>
    </rPh>
    <phoneticPr fontId="2"/>
  </si>
  <si>
    <t>日経平均年初来安値</t>
    <rPh sb="0" eb="2">
      <t>ニッケイ</t>
    </rPh>
    <rPh sb="2" eb="4">
      <t>ヘイキン</t>
    </rPh>
    <rPh sb="4" eb="7">
      <t>ネンショライ</t>
    </rPh>
    <rPh sb="7" eb="9">
      <t>ヤスネ</t>
    </rPh>
    <phoneticPr fontId="2"/>
  </si>
  <si>
    <t>前日比</t>
    <rPh sb="0" eb="3">
      <t>ゼンジツヒ</t>
    </rPh>
    <phoneticPr fontId="2"/>
  </si>
  <si>
    <t>残存建玉</t>
    <rPh sb="0" eb="2">
      <t>ザンゾン</t>
    </rPh>
    <rPh sb="2" eb="3">
      <t>タ</t>
    </rPh>
    <rPh sb="3" eb="4">
      <t>ギョク</t>
    </rPh>
    <phoneticPr fontId="2"/>
  </si>
  <si>
    <t>HV</t>
    <phoneticPr fontId="2"/>
  </si>
  <si>
    <t>出来高</t>
    <rPh sb="0" eb="3">
      <t>デキダカ</t>
    </rPh>
    <phoneticPr fontId="2"/>
  </si>
  <si>
    <t>理論価格</t>
    <rPh sb="0" eb="2">
      <t>リロン</t>
    </rPh>
    <rPh sb="2" eb="4">
      <t>カカク</t>
    </rPh>
    <phoneticPr fontId="2"/>
  </si>
  <si>
    <t>ベーシス</t>
    <phoneticPr fontId="2"/>
  </si>
  <si>
    <t>板</t>
    <rPh sb="0" eb="1">
      <t>イタ</t>
    </rPh>
    <phoneticPr fontId="2"/>
  </si>
  <si>
    <t>前日比（率）</t>
    <rPh sb="0" eb="2">
      <t>ゼンジツ</t>
    </rPh>
    <rPh sb="2" eb="3">
      <t>ヒ</t>
    </rPh>
    <rPh sb="4" eb="5">
      <t>リツ</t>
    </rPh>
    <phoneticPr fontId="2"/>
  </si>
  <si>
    <t>売</t>
    <rPh sb="0" eb="1">
      <t>バイ</t>
    </rPh>
    <phoneticPr fontId="2"/>
  </si>
  <si>
    <t>強度</t>
    <rPh sb="0" eb="2">
      <t>キョウド</t>
    </rPh>
    <phoneticPr fontId="2"/>
  </si>
  <si>
    <t>買</t>
    <rPh sb="0" eb="1">
      <t>バイ</t>
    </rPh>
    <phoneticPr fontId="2"/>
  </si>
  <si>
    <t>出来高</t>
  </si>
  <si>
    <t>売気配</t>
  </si>
  <si>
    <t>価格</t>
  </si>
  <si>
    <t>買気配</t>
  </si>
  <si>
    <t>成行</t>
  </si>
  <si>
    <t>四本値</t>
    <rPh sb="0" eb="1">
      <t>ヨン</t>
    </rPh>
    <rPh sb="1" eb="2">
      <t>ホン</t>
    </rPh>
    <rPh sb="2" eb="3">
      <t>ネ</t>
    </rPh>
    <phoneticPr fontId="2"/>
  </si>
  <si>
    <t>引数</t>
    <rPh sb="0" eb="2">
      <t>ヒキスウ</t>
    </rPh>
    <phoneticPr fontId="2"/>
  </si>
  <si>
    <t>市場コード</t>
    <rPh sb="0" eb="2">
      <t>シジョウ</t>
    </rPh>
    <phoneticPr fontId="2"/>
  </si>
  <si>
    <t>取引日付</t>
    <rPh sb="0" eb="2">
      <t>トリヒキ</t>
    </rPh>
    <rPh sb="2" eb="4">
      <t>ヒヅケ</t>
    </rPh>
    <phoneticPr fontId="2"/>
  </si>
  <si>
    <t>約定時刻</t>
    <rPh sb="0" eb="2">
      <t>ヤクジョウ</t>
    </rPh>
    <rPh sb="2" eb="4">
      <t>ジコク</t>
    </rPh>
    <phoneticPr fontId="2"/>
  </si>
  <si>
    <t>始値</t>
    <rPh sb="0" eb="1">
      <t>ハジ</t>
    </rPh>
    <rPh sb="1" eb="2">
      <t>チ</t>
    </rPh>
    <phoneticPr fontId="2"/>
  </si>
  <si>
    <t>先物コード</t>
    <rPh sb="0" eb="2">
      <t>サキモノ</t>
    </rPh>
    <phoneticPr fontId="2"/>
  </si>
  <si>
    <t>限月</t>
    <rPh sb="0" eb="1">
      <t>ゲン</t>
    </rPh>
    <rPh sb="1" eb="2">
      <t>ゲツ</t>
    </rPh>
    <phoneticPr fontId="2"/>
  </si>
  <si>
    <t>足種別</t>
    <rPh sb="0" eb="1">
      <t>アシ</t>
    </rPh>
    <rPh sb="1" eb="3">
      <t>シュベツ</t>
    </rPh>
    <phoneticPr fontId="2"/>
  </si>
  <si>
    <t>取得期間</t>
    <rPh sb="0" eb="2">
      <t>シュトク</t>
    </rPh>
    <rPh sb="2" eb="4">
      <t>キカン</t>
    </rPh>
    <phoneticPr fontId="2"/>
  </si>
  <si>
    <t>昇順降順</t>
    <rPh sb="0" eb="2">
      <t>ショウジュン</t>
    </rPh>
    <rPh sb="2" eb="4">
      <t>コウジュン</t>
    </rPh>
    <phoneticPr fontId="2"/>
  </si>
  <si>
    <t>本数</t>
    <rPh sb="0" eb="2">
      <t>ホンスウ</t>
    </rPh>
    <phoneticPr fontId="2"/>
  </si>
  <si>
    <t>第1引数</t>
  </si>
  <si>
    <t>先物コード</t>
  </si>
  <si>
    <t>第2引数</t>
  </si>
  <si>
    <t>限月</t>
  </si>
  <si>
    <t>第3引数</t>
  </si>
  <si>
    <t>取引種類</t>
  </si>
  <si>
    <t>1：新規、2：決済</t>
  </si>
  <si>
    <t>第4引数</t>
  </si>
  <si>
    <t>建玉番号</t>
    <rPh sb="0" eb="1">
      <t>タ</t>
    </rPh>
    <rPh sb="1" eb="2">
      <t>ギョク</t>
    </rPh>
    <rPh sb="2" eb="4">
      <t>バンゴウ</t>
    </rPh>
    <phoneticPr fontId="2"/>
  </si>
  <si>
    <t>第5引数</t>
  </si>
  <si>
    <t>建玉枝番号</t>
    <rPh sb="0" eb="1">
      <t>タ</t>
    </rPh>
    <rPh sb="1" eb="2">
      <t>ギョク</t>
    </rPh>
    <rPh sb="2" eb="3">
      <t>エダ</t>
    </rPh>
    <rPh sb="3" eb="5">
      <t>バンゴウ</t>
    </rPh>
    <phoneticPr fontId="2"/>
  </si>
  <si>
    <t>第6引数</t>
  </si>
  <si>
    <t>売買区分</t>
  </si>
  <si>
    <t>1：売、3：買</t>
  </si>
  <si>
    <t>第7引数</t>
  </si>
  <si>
    <t>執行条件</t>
  </si>
  <si>
    <t>第8引数</t>
  </si>
  <si>
    <t>単価</t>
  </si>
  <si>
    <t>第9引数</t>
  </si>
  <si>
    <t>数量</t>
  </si>
  <si>
    <t>数量を指定</t>
    <rPh sb="0" eb="2">
      <t>スウリョウ</t>
    </rPh>
    <rPh sb="3" eb="5">
      <t>シテイ</t>
    </rPh>
    <phoneticPr fontId="2"/>
  </si>
  <si>
    <t>第10引数</t>
  </si>
  <si>
    <t>0：表示あり、１：表示無し</t>
  </si>
  <si>
    <t>第11引数</t>
  </si>
  <si>
    <t>パスワード</t>
  </si>
  <si>
    <t>発注ID</t>
    <rPh sb="0" eb="2">
      <t>ハッチュウ</t>
    </rPh>
    <phoneticPr fontId="2"/>
  </si>
  <si>
    <t>発注IDを指定</t>
    <rPh sb="0" eb="2">
      <t>ハッチュウ</t>
    </rPh>
    <rPh sb="5" eb="7">
      <t>シテイ</t>
    </rPh>
    <phoneticPr fontId="2"/>
  </si>
  <si>
    <t>成行の場合は0を指定</t>
    <phoneticPr fontId="2"/>
  </si>
  <si>
    <t>歩み値</t>
    <rPh sb="0" eb="1">
      <t>アユ</t>
    </rPh>
    <rPh sb="2" eb="3">
      <t>ネ</t>
    </rPh>
    <phoneticPr fontId="2"/>
  </si>
  <si>
    <t>時刻</t>
    <rPh sb="0" eb="2">
      <t>ジコク</t>
    </rPh>
    <phoneticPr fontId="2"/>
  </si>
  <si>
    <t>前回比</t>
    <rPh sb="0" eb="2">
      <t>ゼンカイ</t>
    </rPh>
    <rPh sb="2" eb="3">
      <t>ヒ</t>
    </rPh>
    <phoneticPr fontId="2"/>
  </si>
  <si>
    <t>累計</t>
    <rPh sb="0" eb="2">
      <t>ルイケイ</t>
    </rPh>
    <phoneticPr fontId="2"/>
  </si>
  <si>
    <t>売気配</t>
    <rPh sb="0" eb="1">
      <t>ウ</t>
    </rPh>
    <rPh sb="1" eb="3">
      <t>ケハイ</t>
    </rPh>
    <phoneticPr fontId="2"/>
  </si>
  <si>
    <t>買付強度</t>
    <rPh sb="0" eb="2">
      <t>カイツケ</t>
    </rPh>
    <rPh sb="2" eb="4">
      <t>キョウド</t>
    </rPh>
    <phoneticPr fontId="2"/>
  </si>
  <si>
    <t>買気配</t>
    <rPh sb="0" eb="1">
      <t>カ</t>
    </rPh>
    <rPh sb="1" eb="3">
      <t>ケハイ</t>
    </rPh>
    <phoneticPr fontId="2"/>
  </si>
  <si>
    <t>VWAP</t>
    <phoneticPr fontId="2"/>
  </si>
  <si>
    <t>ロスカット率</t>
    <rPh sb="5" eb="6">
      <t>リツ</t>
    </rPh>
    <phoneticPr fontId="2"/>
  </si>
  <si>
    <t>新規発注</t>
    <rPh sb="0" eb="2">
      <t>シンキ</t>
    </rPh>
    <rPh sb="2" eb="4">
      <t>ハッチュウ</t>
    </rPh>
    <phoneticPr fontId="2"/>
  </si>
  <si>
    <t>決済発注</t>
    <rPh sb="0" eb="2">
      <t>ケッサイ</t>
    </rPh>
    <rPh sb="2" eb="4">
      <t>ハッチュウ</t>
    </rPh>
    <phoneticPr fontId="2"/>
  </si>
  <si>
    <t>利食い率</t>
    <rPh sb="0" eb="2">
      <t>リグ</t>
    </rPh>
    <rPh sb="3" eb="4">
      <t>リツ</t>
    </rPh>
    <phoneticPr fontId="2"/>
  </si>
  <si>
    <r>
      <t>R</t>
    </r>
    <r>
      <rPr>
        <sz val="11"/>
        <rFont val="ＭＳ Ｐゴシック"/>
        <family val="3"/>
        <charset val="128"/>
      </rPr>
      <t>00</t>
    </r>
    <r>
      <rPr>
        <sz val="11"/>
        <rFont val="ＭＳ Ｐゴシック"/>
        <family val="3"/>
        <charset val="128"/>
      </rPr>
      <t>1</t>
    </r>
    <phoneticPr fontId="2"/>
  </si>
  <si>
    <r>
      <t>第1</t>
    </r>
    <r>
      <rPr>
        <sz val="11"/>
        <rFont val="ＭＳ Ｐゴシック"/>
        <family val="3"/>
        <charset val="128"/>
      </rPr>
      <t>4</t>
    </r>
    <r>
      <rPr>
        <sz val="11"/>
        <rFont val="ＭＳ Ｐゴシック"/>
        <family val="3"/>
        <charset val="128"/>
      </rPr>
      <t>引数</t>
    </r>
    <phoneticPr fontId="2"/>
  </si>
  <si>
    <t>条件発注</t>
    <rPh sb="0" eb="2">
      <t>ジョウケン</t>
    </rPh>
    <rPh sb="2" eb="4">
      <t>ハッチュウ</t>
    </rPh>
    <phoneticPr fontId="2"/>
  </si>
  <si>
    <t>解説</t>
  </si>
  <si>
    <t>利食い率を超えると利益確定の売買をし、ロスカット率を超えると損切りの売買を行う</t>
    <rPh sb="5" eb="6">
      <t>コ</t>
    </rPh>
    <rPh sb="9" eb="11">
      <t>リエキ</t>
    </rPh>
    <rPh sb="11" eb="13">
      <t>カクテイ</t>
    </rPh>
    <rPh sb="14" eb="16">
      <t>バイバイ</t>
    </rPh>
    <rPh sb="24" eb="25">
      <t>リツ</t>
    </rPh>
    <rPh sb="26" eb="27">
      <t>コ</t>
    </rPh>
    <rPh sb="30" eb="31">
      <t>ソン</t>
    </rPh>
    <rPh sb="31" eb="32">
      <t>ギ</t>
    </rPh>
    <rPh sb="34" eb="36">
      <t>バイバイ</t>
    </rPh>
    <rPh sb="37" eb="38">
      <t>オコナ</t>
    </rPh>
    <phoneticPr fontId="2"/>
  </si>
  <si>
    <t>A</t>
    <phoneticPr fontId="2"/>
  </si>
  <si>
    <t>日中</t>
    <rPh sb="0" eb="2">
      <t>ニッチュウ</t>
    </rPh>
    <phoneticPr fontId="2"/>
  </si>
  <si>
    <t>有効期間区分</t>
    <rPh sb="0" eb="2">
      <t>ユウコウ</t>
    </rPh>
    <rPh sb="2" eb="4">
      <t>キカン</t>
    </rPh>
    <rPh sb="4" eb="6">
      <t>クブン</t>
    </rPh>
    <phoneticPr fontId="2"/>
  </si>
  <si>
    <t>0-9/a-z/A-Z の範囲文字と_(アンダーバー)のみ入力可</t>
    <rPh sb="29" eb="31">
      <t>ニュウリョク</t>
    </rPh>
    <rPh sb="31" eb="32">
      <t>カ</t>
    </rPh>
    <phoneticPr fontId="2"/>
  </si>
  <si>
    <t>発注条件</t>
    <rPh sb="0" eb="2">
      <t>ハッチュウ</t>
    </rPh>
    <rPh sb="2" eb="4">
      <t>ジョウケン</t>
    </rPh>
    <phoneticPr fontId="2"/>
  </si>
  <si>
    <t>発注単価</t>
    <rPh sb="0" eb="2">
      <t>ハッチュウ</t>
    </rPh>
    <rPh sb="2" eb="4">
      <t>タンカ</t>
    </rPh>
    <phoneticPr fontId="2"/>
  </si>
  <si>
    <t>第15引数</t>
  </si>
  <si>
    <t>第18引数</t>
  </si>
  <si>
    <t>夜間</t>
    <rPh sb="0" eb="2">
      <t>ヤカン</t>
    </rPh>
    <phoneticPr fontId="2"/>
  </si>
  <si>
    <t>限月をYYYYMMで指定。0を指定すると期近、1を指定すると期先</t>
    <rPh sb="0" eb="1">
      <t>カギ</t>
    </rPh>
    <rPh sb="1" eb="2">
      <t>ゲツ</t>
    </rPh>
    <rPh sb="10" eb="12">
      <t>シテイ</t>
    </rPh>
    <phoneticPr fontId="2"/>
  </si>
  <si>
    <t>注文確認</t>
    <rPh sb="0" eb="1">
      <t>チュウ</t>
    </rPh>
    <rPh sb="1" eb="2">
      <t>モン</t>
    </rPh>
    <phoneticPr fontId="2"/>
  </si>
  <si>
    <t>完了メッセージ</t>
    <phoneticPr fontId="2"/>
  </si>
  <si>
    <t>第12引数</t>
    <phoneticPr fontId="2"/>
  </si>
  <si>
    <t>注文画面</t>
    <phoneticPr fontId="2"/>
  </si>
  <si>
    <t>第13引数</t>
    <phoneticPr fontId="2"/>
  </si>
  <si>
    <t>先物注文取引パスワード</t>
    <phoneticPr fontId="2"/>
  </si>
  <si>
    <t>第14引数</t>
    <phoneticPr fontId="2"/>
  </si>
  <si>
    <t>F001</t>
    <phoneticPr fontId="2"/>
  </si>
  <si>
    <t>第16引数</t>
  </si>
  <si>
    <t>メモ</t>
    <phoneticPr fontId="2"/>
  </si>
  <si>
    <t>第17引数</t>
  </si>
  <si>
    <t>=fneworder(C5,C6,C7,C8,C9,C10,C11,C12,C13,C14,C15,C16,C17,C18,C19,C20,C21,C22)</t>
    <phoneticPr fontId="2"/>
  </si>
  <si>
    <t xml:space="preserve">建玉番号or 決済順序。決済する建玉指定、もしくは、A：評価益（1 枚）順、B：評価損（1 枚）順、C：建日時古順、D：建日時新順。ブランクはなし。
</t>
    <rPh sb="0" eb="1">
      <t>タ</t>
    </rPh>
    <rPh sb="1" eb="2">
      <t>タマ</t>
    </rPh>
    <rPh sb="2" eb="4">
      <t>バンゴウ</t>
    </rPh>
    <rPh sb="7" eb="9">
      <t>ケッサイ</t>
    </rPh>
    <rPh sb="9" eb="11">
      <t>ジュンジョ</t>
    </rPh>
    <rPh sb="12" eb="14">
      <t>ケッサイ</t>
    </rPh>
    <rPh sb="16" eb="17">
      <t>タ</t>
    </rPh>
    <rPh sb="17" eb="18">
      <t>タマ</t>
    </rPh>
    <rPh sb="18" eb="20">
      <t>シテイ</t>
    </rPh>
    <rPh sb="28" eb="31">
      <t>ヒョウカエキ</t>
    </rPh>
    <rPh sb="34" eb="35">
      <t>マイ</t>
    </rPh>
    <rPh sb="36" eb="37">
      <t>ジュン</t>
    </rPh>
    <rPh sb="40" eb="42">
      <t>ヒョウカ</t>
    </rPh>
    <rPh sb="42" eb="43">
      <t>ソン</t>
    </rPh>
    <rPh sb="46" eb="47">
      <t>マイ</t>
    </rPh>
    <rPh sb="48" eb="49">
      <t>ジュン</t>
    </rPh>
    <rPh sb="52" eb="53">
      <t>ケン</t>
    </rPh>
    <rPh sb="53" eb="55">
      <t>ニチジ</t>
    </rPh>
    <rPh sb="55" eb="56">
      <t>フル</t>
    </rPh>
    <rPh sb="56" eb="57">
      <t>ジュン</t>
    </rPh>
    <rPh sb="60" eb="61">
      <t>ケン</t>
    </rPh>
    <rPh sb="61" eb="63">
      <t>ニチジ</t>
    </rPh>
    <rPh sb="63" eb="64">
      <t>シン</t>
    </rPh>
    <rPh sb="64" eb="65">
      <t>ジュン</t>
    </rPh>
    <phoneticPr fontId="2"/>
  </si>
  <si>
    <t>１を指定。</t>
    <rPh sb="2" eb="4">
      <t>シテイ</t>
    </rPh>
    <phoneticPr fontId="2"/>
  </si>
  <si>
    <t>成行の場合は０を指定。</t>
    <phoneticPr fontId="2"/>
  </si>
  <si>
    <t>0：最大指値、1：指値、5：引成、6：不出来最大指値、8：逆指、10：指値（FOK）、11：指値（FAK）、12：成行（FOK）、13：成行（FAK）、14：最良指値、15：最良指値（FOK）、16：最良指値（FAK）、19：引指</t>
    <phoneticPr fontId="2"/>
  </si>
  <si>
    <r>
      <t>0：最大指値 ※逆指値指定時のみ有効、1：指値、10：指値（FOK）、11：指値（FAK）、12：成行（FOK）、13：成行（FAK）、14：最良指値、15：最良指値（FOK）、16：最良指値（FAK）、</t>
    </r>
    <r>
      <rPr>
        <sz val="11"/>
        <rFont val="ＭＳ Ｐゴシック"/>
        <family val="3"/>
        <charset val="128"/>
      </rPr>
      <t>19</t>
    </r>
    <r>
      <rPr>
        <sz val="11"/>
        <rFont val="ＭＳ Ｐゴシック"/>
        <family val="3"/>
        <charset val="128"/>
      </rPr>
      <t>：引指</t>
    </r>
    <phoneticPr fontId="2"/>
  </si>
  <si>
    <t>（逆指値時）</t>
    <phoneticPr fontId="2"/>
  </si>
  <si>
    <r>
      <t>N225：日経225先物、N225mini：ミニ先物、TOPIX</t>
    </r>
    <r>
      <rPr>
        <sz val="11"/>
        <rFont val="ＭＳ Ｐゴシック"/>
        <family val="3"/>
        <charset val="128"/>
      </rPr>
      <t>：</t>
    </r>
    <r>
      <rPr>
        <sz val="11"/>
        <rFont val="ＭＳ Ｐゴシック"/>
        <family val="3"/>
        <charset val="128"/>
      </rPr>
      <t>TOPIX</t>
    </r>
    <r>
      <rPr>
        <sz val="11"/>
        <rFont val="ＭＳ Ｐゴシック"/>
        <family val="3"/>
        <charset val="128"/>
      </rPr>
      <t>先物、</t>
    </r>
    <r>
      <rPr>
        <sz val="11"/>
        <rFont val="ＭＳ Ｐゴシック"/>
        <family val="3"/>
        <charset val="128"/>
      </rPr>
      <t>TOPIXmini</t>
    </r>
    <r>
      <rPr>
        <sz val="11"/>
        <rFont val="ＭＳ Ｐゴシック"/>
        <family val="3"/>
        <charset val="128"/>
      </rPr>
      <t>：ミニ</t>
    </r>
    <r>
      <rPr>
        <sz val="11"/>
        <rFont val="ＭＳ Ｐゴシック"/>
        <family val="3"/>
        <charset val="128"/>
      </rPr>
      <t>TOPIX、JPX400 ：JPX400先物、MOTHERS：マザーズ先物</t>
    </r>
    <r>
      <rPr>
        <sz val="11"/>
        <rFont val="ＭＳ Ｐゴシック"/>
        <family val="3"/>
        <charset val="128"/>
      </rPr>
      <t>、</t>
    </r>
    <r>
      <rPr>
        <sz val="11"/>
        <rFont val="ＭＳ Ｐゴシック"/>
        <family val="3"/>
        <charset val="128"/>
      </rPr>
      <t>Core30</t>
    </r>
    <r>
      <rPr>
        <sz val="11"/>
        <rFont val="ＭＳ Ｐゴシック"/>
        <family val="3"/>
        <charset val="128"/>
      </rPr>
      <t>：</t>
    </r>
    <r>
      <rPr>
        <sz val="11"/>
        <rFont val="ＭＳ Ｐゴシック"/>
        <family val="3"/>
        <charset val="128"/>
      </rPr>
      <t>TOPIX Core30</t>
    </r>
    <r>
      <rPr>
        <sz val="11"/>
        <rFont val="ＭＳ Ｐゴシック"/>
        <family val="3"/>
        <charset val="128"/>
      </rPr>
      <t>、</t>
    </r>
    <r>
      <rPr>
        <sz val="11"/>
        <rFont val="ＭＳ Ｐゴシック"/>
        <family val="3"/>
        <charset val="128"/>
      </rPr>
      <t>REIT</t>
    </r>
    <r>
      <rPr>
        <sz val="11"/>
        <rFont val="ＭＳ Ｐゴシック"/>
        <family val="3"/>
        <charset val="128"/>
      </rPr>
      <t>：</t>
    </r>
    <r>
      <rPr>
        <sz val="11"/>
        <rFont val="ＭＳ Ｐゴシック"/>
        <family val="3"/>
        <charset val="128"/>
      </rPr>
      <t xml:space="preserve">REIT </t>
    </r>
    <r>
      <rPr>
        <sz val="11"/>
        <rFont val="ＭＳ Ｐゴシック"/>
        <family val="3"/>
        <charset val="128"/>
      </rPr>
      <t>先物、</t>
    </r>
    <r>
      <rPr>
        <sz val="11"/>
        <rFont val="ＭＳ Ｐゴシック"/>
        <family val="3"/>
        <charset val="128"/>
      </rPr>
      <t>DOW</t>
    </r>
    <r>
      <rPr>
        <sz val="11"/>
        <rFont val="ＭＳ Ｐゴシック"/>
        <family val="3"/>
        <charset val="128"/>
      </rPr>
      <t>：</t>
    </r>
    <r>
      <rPr>
        <sz val="11"/>
        <rFont val="ＭＳ Ｐゴシック"/>
        <family val="3"/>
        <charset val="128"/>
      </rPr>
      <t>NY</t>
    </r>
    <r>
      <rPr>
        <sz val="11"/>
        <rFont val="ＭＳ Ｐゴシック"/>
        <family val="3"/>
        <charset val="128"/>
      </rPr>
      <t>ダウ先物、</t>
    </r>
    <r>
      <rPr>
        <sz val="11"/>
        <rFont val="ＭＳ Ｐゴシック"/>
        <family val="3"/>
        <charset val="128"/>
      </rPr>
      <t>VI</t>
    </r>
    <r>
      <rPr>
        <sz val="11"/>
        <rFont val="ＭＳ Ｐゴシック"/>
        <family val="3"/>
        <charset val="128"/>
      </rPr>
      <t>：日経</t>
    </r>
    <r>
      <rPr>
        <sz val="11"/>
        <rFont val="ＭＳ Ｐゴシック"/>
        <family val="3"/>
        <charset val="128"/>
      </rPr>
      <t>VI</t>
    </r>
    <r>
      <rPr>
        <sz val="11"/>
        <rFont val="ＭＳ Ｐゴシック"/>
        <family val="3"/>
        <charset val="128"/>
      </rPr>
      <t>先物</t>
    </r>
    <phoneticPr fontId="2"/>
  </si>
  <si>
    <t>大証</t>
    <phoneticPr fontId="2"/>
  </si>
  <si>
    <t>N225mini</t>
    <phoneticPr fontId="2"/>
  </si>
  <si>
    <r>
      <t>N225</t>
    </r>
    <r>
      <rPr>
        <sz val="11"/>
        <rFont val="ＭＳ Ｐゴシック"/>
        <family val="3"/>
        <charset val="128"/>
      </rPr>
      <t>mini</t>
    </r>
    <phoneticPr fontId="2"/>
  </si>
  <si>
    <t>1：当ｾｯｼｮﾝのみ(GFD)、3：最終日まで(GTC)、YYYMMDD（GTDの場合のみ日付設定）※指定しない場合当セッションのみ</t>
    <phoneticPr fontId="2"/>
  </si>
  <si>
    <t>=fneworder(C5,C6,C29,C8,C9,C30,C31,C32,C13,C14,C15,C16,C17,C33,C34,C35,C36,C37)</t>
    <phoneticPr fontId="2"/>
  </si>
  <si>
    <t>=IF(OR(B43&gt;C12*(1+B44),B43&lt;C12*(1-B45)),fneworder(C5,C6,C29,C8,C9,C30,C31,C32,C13,C14,C15,C16,C17,C33,C34,C35,C36,C37),"保有")</t>
    <phoneticPr fontId="2"/>
  </si>
  <si>
    <t>12:40:17</t>
    <phoneticPr fontId="2"/>
  </si>
  <si>
    <t>12:40:16</t>
    <phoneticPr fontId="2"/>
  </si>
  <si>
    <t>12:40:23</t>
    <phoneticPr fontId="2"/>
  </si>
  <si>
    <t>12:40:22</t>
    <phoneticPr fontId="2"/>
  </si>
  <si>
    <t>12:40:21</t>
    <phoneticPr fontId="2"/>
  </si>
  <si>
    <t>12:40:20</t>
    <phoneticPr fontId="2"/>
  </si>
  <si>
    <t>12:40:19</t>
    <phoneticPr fontId="2"/>
  </si>
  <si>
    <t>12:40:18</t>
    <phoneticPr fontId="2"/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</si>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</sst>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;&quot;△ &quot;#,##0"/>
    <numFmt numFmtId="177" formatCode="0.0%"/>
  </numFmts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57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17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1" fillId="0" borderId="3" xfId="0" applyNumberFormat="1" applyFont="1" applyBorder="1" applyAlignment="1">
      <alignment horizontal="right" vertical="center"/>
    </xf>
    <xf numFmtId="0" fontId="0" fillId="0" borderId="4" xfId="0" applyBorder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horizontal="left" vertical="center"/>
    </xf>
    <xf numFmtId="176" fontId="1" fillId="0" borderId="7" xfId="0" applyNumberFormat="1" applyFont="1" applyBorder="1" applyAlignment="1">
      <alignment horizontal="right" vertical="center"/>
    </xf>
    <xf numFmtId="176" fontId="1" fillId="0" borderId="8" xfId="0" applyNumberFormat="1" applyFont="1" applyBorder="1" applyAlignment="1">
      <alignment horizontal="right" vertical="center"/>
    </xf>
    <xf numFmtId="176" fontId="0" fillId="0" borderId="9" xfId="0" applyNumberFormat="1" applyBorder="1" applyAlignment="1">
      <alignment horizontal="right" vertical="center"/>
    </xf>
    <xf numFmtId="176" fontId="0" fillId="0" borderId="10" xfId="0" applyNumberFormat="1" applyBorder="1" applyAlignment="1">
      <alignment horizontal="right" vertical="center"/>
    </xf>
    <xf numFmtId="176" fontId="0" fillId="0" borderId="11" xfId="0" applyNumberFormat="1" applyBorder="1" applyAlignment="1">
      <alignment horizontal="right" vertical="center"/>
    </xf>
    <xf numFmtId="176" fontId="0" fillId="0" borderId="12" xfId="0" applyNumberFormat="1" applyBorder="1" applyAlignment="1">
      <alignment horizontal="right" vertical="center"/>
    </xf>
    <xf numFmtId="176" fontId="3" fillId="0" borderId="13" xfId="0" applyNumberFormat="1" applyFont="1" applyBorder="1" applyAlignment="1">
      <alignment horizontal="right" vertical="center"/>
    </xf>
    <xf numFmtId="9" fontId="3" fillId="0" borderId="13" xfId="0" applyNumberFormat="1" applyFont="1" applyBorder="1" applyAlignment="1">
      <alignment horizontal="right"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2" xfId="0" applyBorder="1">
      <alignment vertical="center"/>
    </xf>
    <xf numFmtId="0" fontId="0" fillId="0" borderId="16" xfId="0" applyFill="1" applyBorder="1">
      <alignment vertical="center"/>
    </xf>
    <xf numFmtId="176" fontId="0" fillId="0" borderId="6" xfId="0" applyNumberFormat="1" applyBorder="1">
      <alignment vertical="center"/>
    </xf>
    <xf numFmtId="176" fontId="0" fillId="0" borderId="17" xfId="0" applyNumberFormat="1" applyBorder="1" applyAlignment="1">
      <alignment horizontal="right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Fill="1" applyBorder="1">
      <alignment vertical="center"/>
    </xf>
    <xf numFmtId="0" fontId="0" fillId="0" borderId="21" xfId="0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right" vertical="center"/>
    </xf>
    <xf numFmtId="0" fontId="3" fillId="0" borderId="24" xfId="0" applyFont="1" applyFill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176" fontId="1" fillId="0" borderId="25" xfId="0" applyNumberFormat="1" applyFont="1" applyFill="1" applyBorder="1" applyAlignment="1">
      <alignment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9" fontId="1" fillId="0" borderId="2" xfId="0" applyNumberFormat="1" applyFont="1" applyFill="1" applyBorder="1" applyAlignment="1">
      <alignment horizontal="center" vertical="center"/>
    </xf>
    <xf numFmtId="9" fontId="1" fillId="0" borderId="8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2" xfId="0" applyNumberFormat="1" applyFont="1" applyBorder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8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176" fontId="1" fillId="0" borderId="29" xfId="0" applyNumberFormat="1" applyFont="1" applyBorder="1" applyAlignment="1">
      <alignment horizontal="center" vertical="center"/>
    </xf>
    <xf numFmtId="176" fontId="1" fillId="0" borderId="30" xfId="0" applyNumberFormat="1" applyFont="1" applyBorder="1" applyAlignment="1">
      <alignment horizontal="center" vertical="center"/>
    </xf>
    <xf numFmtId="176" fontId="1" fillId="0" borderId="1" xfId="0" applyNumberFormat="1" applyFont="1" applyBorder="1" applyAlignment="1">
      <alignment horizontal="center" vertical="center"/>
    </xf>
    <xf numFmtId="176" fontId="1" fillId="0" borderId="31" xfId="0" applyNumberFormat="1" applyFont="1" applyBorder="1" applyAlignment="1">
      <alignment horizontal="center" vertical="center"/>
    </xf>
    <xf numFmtId="176" fontId="1" fillId="0" borderId="3" xfId="0" applyNumberFormat="1" applyFont="1" applyBorder="1" applyAlignment="1">
      <alignment horizontal="center" vertical="center"/>
    </xf>
    <xf numFmtId="20" fontId="0" fillId="0" borderId="0" xfId="0" applyNumberFormat="1">
      <alignment vertical="center"/>
    </xf>
    <xf numFmtId="0" fontId="4" fillId="0" borderId="1" xfId="0" applyFont="1" applyBorder="1">
      <alignment vertical="center"/>
    </xf>
    <xf numFmtId="0" fontId="0" fillId="0" borderId="3" xfId="0" applyFill="1" applyBorder="1" applyAlignment="1">
      <alignment horizontal="right" vertical="center"/>
    </xf>
    <xf numFmtId="49" fontId="0" fillId="0" borderId="0" xfId="0" applyNumberFormat="1">
      <alignment vertical="center"/>
    </xf>
    <xf numFmtId="0" fontId="0" fillId="0" borderId="3" xfId="0" applyFill="1" applyBorder="1">
      <alignment vertical="center"/>
    </xf>
    <xf numFmtId="0" fontId="4" fillId="0" borderId="2" xfId="0" applyFont="1" applyBorder="1">
      <alignment vertical="center"/>
    </xf>
    <xf numFmtId="0" fontId="0" fillId="0" borderId="8" xfId="0" applyFill="1" applyBorder="1" applyAlignment="1">
      <alignment horizontal="right" vertical="center"/>
    </xf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49" fontId="1" fillId="0" borderId="34" xfId="0" applyNumberFormat="1" applyFont="1" applyFill="1" applyBorder="1" applyAlignment="1">
      <alignment vertical="top"/>
    </xf>
    <xf numFmtId="0" fontId="1" fillId="0" borderId="35" xfId="0" applyFont="1" applyBorder="1" applyAlignment="1">
      <alignment vertical="center"/>
    </xf>
    <xf numFmtId="0" fontId="1" fillId="0" borderId="36" xfId="0" applyFont="1" applyBorder="1" applyAlignment="1">
      <alignment vertical="center"/>
    </xf>
    <xf numFmtId="49" fontId="1" fillId="0" borderId="37" xfId="0" applyNumberFormat="1" applyFont="1" applyFill="1" applyBorder="1" applyAlignment="1">
      <alignment vertical="top"/>
    </xf>
    <xf numFmtId="0" fontId="1" fillId="0" borderId="38" xfId="0" applyFont="1" applyBorder="1" applyAlignment="1">
      <alignment vertical="center"/>
    </xf>
    <xf numFmtId="0" fontId="0" fillId="0" borderId="39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10" fontId="0" fillId="0" borderId="0" xfId="0" applyNumberFormat="1">
      <alignment vertical="center"/>
    </xf>
    <xf numFmtId="20" fontId="0" fillId="0" borderId="22" xfId="0" applyNumberFormat="1" applyFill="1" applyBorder="1" applyAlignment="1">
      <alignment horizontal="center" vertical="center"/>
    </xf>
    <xf numFmtId="10" fontId="0" fillId="0" borderId="39" xfId="0" applyNumberFormat="1" applyFill="1" applyBorder="1" applyAlignment="1">
      <alignment horizontal="center" vertical="center"/>
    </xf>
    <xf numFmtId="0" fontId="4" fillId="0" borderId="28" xfId="0" applyFont="1" applyBorder="1">
      <alignment vertical="center"/>
    </xf>
    <xf numFmtId="0" fontId="0" fillId="0" borderId="30" xfId="0" applyFill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>
      <alignment vertical="center"/>
    </xf>
    <xf numFmtId="177" fontId="0" fillId="0" borderId="16" xfId="1" applyNumberFormat="1" applyFont="1" applyBorder="1">
      <alignment vertical="center"/>
    </xf>
    <xf numFmtId="14" fontId="0" fillId="0" borderId="0" xfId="0" applyNumberFormat="1">
      <alignment vertical="center"/>
    </xf>
    <xf numFmtId="0" fontId="1" fillId="0" borderId="0" xfId="0" applyFont="1" applyFill="1" applyBorder="1" applyAlignment="1">
      <alignment vertical="center"/>
    </xf>
    <xf numFmtId="38" fontId="0" fillId="0" borderId="0" xfId="2" applyFont="1">
      <alignment vertical="center"/>
    </xf>
    <xf numFmtId="38" fontId="1" fillId="0" borderId="33" xfId="2" applyFont="1" applyBorder="1" applyAlignment="1">
      <alignment horizontal="right" vertical="center"/>
    </xf>
    <xf numFmtId="38" fontId="1" fillId="0" borderId="36" xfId="2" applyFont="1" applyBorder="1" applyAlignment="1">
      <alignment horizontal="right" vertical="center"/>
    </xf>
    <xf numFmtId="38" fontId="1" fillId="0" borderId="36" xfId="2" applyFont="1" applyFill="1" applyBorder="1" applyAlignment="1">
      <alignment horizontal="right" vertical="center"/>
    </xf>
    <xf numFmtId="38" fontId="1" fillId="0" borderId="0" xfId="2" applyFont="1">
      <alignment vertical="center"/>
    </xf>
    <xf numFmtId="0" fontId="1" fillId="0" borderId="36" xfId="0" applyFont="1" applyFill="1" applyBorder="1" applyAlignment="1">
      <alignment vertical="center"/>
    </xf>
    <xf numFmtId="38" fontId="1" fillId="0" borderId="0" xfId="2" applyFont="1" applyBorder="1">
      <alignment vertical="center"/>
    </xf>
    <xf numFmtId="176" fontId="1" fillId="0" borderId="4" xfId="0" applyNumberFormat="1" applyFont="1" applyFill="1" applyBorder="1" applyAlignment="1">
      <alignment horizontal="right" vertical="center"/>
    </xf>
    <xf numFmtId="176" fontId="1" fillId="0" borderId="7" xfId="0" applyNumberFormat="1" applyFont="1" applyFill="1" applyBorder="1" applyAlignment="1">
      <alignment horizontal="right" vertical="center"/>
    </xf>
    <xf numFmtId="176" fontId="1" fillId="0" borderId="40" xfId="0" applyNumberFormat="1" applyFont="1" applyFill="1" applyBorder="1" applyAlignment="1">
      <alignment horizontal="right" vertical="center"/>
    </xf>
    <xf numFmtId="176" fontId="1" fillId="0" borderId="1" xfId="0" applyNumberFormat="1" applyFont="1" applyFill="1" applyBorder="1" applyAlignment="1">
      <alignment horizontal="right" vertical="center"/>
    </xf>
    <xf numFmtId="176" fontId="1" fillId="0" borderId="3" xfId="0" applyNumberFormat="1" applyFont="1" applyFill="1" applyBorder="1" applyAlignment="1">
      <alignment horizontal="right" vertical="center"/>
    </xf>
    <xf numFmtId="176" fontId="1" fillId="0" borderId="41" xfId="0" applyNumberFormat="1" applyFont="1" applyFill="1" applyBorder="1" applyAlignment="1">
      <alignment horizontal="right" vertical="center"/>
    </xf>
    <xf numFmtId="0" fontId="1" fillId="0" borderId="3" xfId="0" applyFont="1" applyFill="1" applyBorder="1" applyAlignment="1">
      <alignment horizontal="right" vertical="center"/>
    </xf>
    <xf numFmtId="176" fontId="1" fillId="0" borderId="2" xfId="0" applyNumberFormat="1" applyFont="1" applyFill="1" applyBorder="1" applyAlignment="1">
      <alignment horizontal="right" vertical="center"/>
    </xf>
    <xf numFmtId="176" fontId="1" fillId="0" borderId="8" xfId="0" applyNumberFormat="1" applyFont="1" applyFill="1" applyBorder="1" applyAlignment="1">
      <alignment horizontal="right" vertical="center"/>
    </xf>
    <xf numFmtId="176" fontId="1" fillId="0" borderId="42" xfId="0" applyNumberFormat="1" applyFont="1" applyFill="1" applyBorder="1" applyAlignment="1">
      <alignment horizontal="right" vertical="center"/>
    </xf>
    <xf numFmtId="0" fontId="1" fillId="0" borderId="8" xfId="0" applyFont="1" applyFill="1" applyBorder="1" applyAlignment="1">
      <alignment horizontal="right" vertical="center"/>
    </xf>
    <xf numFmtId="38" fontId="0" fillId="0" borderId="36" xfId="2" applyFont="1" applyBorder="1" applyAlignment="1">
      <alignment horizontal="right" vertical="center"/>
    </xf>
    <xf numFmtId="49" fontId="0" fillId="0" borderId="37" xfId="0" applyNumberFormat="1" applyFont="1" applyFill="1" applyBorder="1" applyAlignment="1">
      <alignment vertical="top" wrapText="1"/>
    </xf>
    <xf numFmtId="49" fontId="0" fillId="0" borderId="37" xfId="0" applyNumberFormat="1" applyFont="1" applyFill="1" applyBorder="1" applyAlignment="1">
      <alignment vertical="top"/>
    </xf>
    <xf numFmtId="49" fontId="0" fillId="0" borderId="34" xfId="0" applyNumberFormat="1" applyFont="1" applyFill="1" applyBorder="1" applyAlignment="1">
      <alignment vertical="top" wrapText="1"/>
    </xf>
    <xf numFmtId="21" fontId="0" fillId="0" borderId="0" xfId="0" applyNumberFormat="1">
      <alignment vertical="center"/>
    </xf>
    <xf numFmtId="0" fontId="0" fillId="0" borderId="37" xfId="0" applyFont="1" applyBorder="1" applyAlignment="1">
      <alignment vertical="center" wrapText="1"/>
    </xf>
    <xf numFmtId="38" fontId="0" fillId="0" borderId="33" xfId="2" applyFont="1" applyBorder="1" applyAlignment="1">
      <alignment horizontal="right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38" fontId="7" fillId="0" borderId="36" xfId="2" applyFont="1" applyBorder="1" applyAlignment="1">
      <alignment horizontal="right" vertical="center"/>
    </xf>
    <xf numFmtId="0" fontId="1" fillId="0" borderId="43" xfId="0" applyFont="1" applyFill="1" applyBorder="1" applyAlignment="1">
      <alignment vertical="center"/>
    </xf>
    <xf numFmtId="38" fontId="1" fillId="0" borderId="43" xfId="2" applyFont="1" applyFill="1" applyBorder="1" applyAlignment="1">
      <alignment horizontal="right" vertical="center"/>
    </xf>
    <xf numFmtId="0" fontId="0" fillId="0" borderId="44" xfId="0" applyFont="1" applyBorder="1" applyAlignment="1">
      <alignment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Border="1" applyAlignment="1">
      <alignment vertical="center"/>
    </xf>
    <xf numFmtId="49" fontId="1" fillId="0" borderId="0" xfId="0" applyNumberFormat="1" applyFont="1" applyFill="1" applyBorder="1" applyAlignment="1">
      <alignment vertical="top"/>
    </xf>
    <xf numFmtId="0" fontId="0" fillId="0" borderId="45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2" borderId="16" xfId="0" applyFill="1" applyBorder="1" applyAlignment="1">
      <alignment vertical="center"/>
    </xf>
    <xf numFmtId="0" fontId="0" fillId="0" borderId="16" xfId="0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36" xfId="2" applyNumberFormat="1" applyFont="1" applyBorder="1" applyAlignment="1">
      <alignment horizontal="right" vertical="center"/>
    </xf>
    <xf numFmtId="176" fontId="0" fillId="0" borderId="53" xfId="0" applyNumberFormat="1" applyBorder="1" applyAlignment="1">
      <alignment horizontal="right" vertical="center"/>
    </xf>
    <xf numFmtId="176" fontId="0" fillId="0" borderId="44" xfId="0" applyNumberFormat="1" applyBorder="1" applyAlignment="1">
      <alignment horizontal="right" vertical="center"/>
    </xf>
    <xf numFmtId="0" fontId="0" fillId="0" borderId="21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176" fontId="0" fillId="0" borderId="45" xfId="0" applyNumberFormat="1" applyBorder="1" applyAlignment="1">
      <alignment horizontal="right" vertical="center"/>
    </xf>
    <xf numFmtId="176" fontId="0" fillId="0" borderId="52" xfId="0" applyNumberFormat="1" applyBorder="1" applyAlignment="1">
      <alignment horizontal="right" vertical="center"/>
    </xf>
    <xf numFmtId="176" fontId="0" fillId="0" borderId="12" xfId="0" applyNumberFormat="1" applyBorder="1" applyAlignment="1">
      <alignment horizontal="right" vertical="center"/>
    </xf>
    <xf numFmtId="176" fontId="0" fillId="0" borderId="9" xfId="0" applyNumberFormat="1" applyBorder="1" applyAlignment="1">
      <alignment horizontal="right" vertical="center"/>
    </xf>
    <xf numFmtId="0" fontId="0" fillId="0" borderId="23" xfId="0" applyFill="1" applyBorder="1" applyAlignment="1">
      <alignment horizontal="center" vertical="center"/>
    </xf>
    <xf numFmtId="176" fontId="0" fillId="0" borderId="49" xfId="0" applyNumberFormat="1" applyBorder="1" applyAlignment="1">
      <alignment horizontal="right" vertical="center"/>
    </xf>
    <xf numFmtId="176" fontId="0" fillId="0" borderId="50" xfId="0" applyNumberFormat="1" applyBorder="1" applyAlignment="1">
      <alignment horizontal="right" vertical="center"/>
    </xf>
    <xf numFmtId="176" fontId="0" fillId="0" borderId="4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48" xfId="0" applyNumberFormat="1" applyBorder="1" applyAlignment="1">
      <alignment horizontal="right" vertical="center"/>
    </xf>
    <xf numFmtId="176" fontId="0" fillId="0" borderId="11" xfId="0" applyNumberFormat="1" applyBorder="1" applyAlignment="1">
      <alignment horizontal="right" vertical="center"/>
    </xf>
    <xf numFmtId="176" fontId="0" fillId="0" borderId="51" xfId="0" applyNumberFormat="1" applyBorder="1" applyAlignment="1">
      <alignment horizontal="right" vertical="center"/>
    </xf>
    <xf numFmtId="0" fontId="0" fillId="2" borderId="21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76" fontId="1" fillId="0" borderId="47" xfId="0" applyNumberFormat="1" applyFont="1" applyBorder="1" applyAlignment="1">
      <alignment horizontal="right" vertical="center"/>
    </xf>
    <xf numFmtId="176" fontId="1" fillId="0" borderId="17" xfId="0" applyNumberFormat="1" applyFont="1" applyBorder="1" applyAlignment="1">
      <alignment horizontal="right" vertical="center"/>
    </xf>
    <xf numFmtId="176" fontId="1" fillId="0" borderId="46" xfId="0" applyNumberFormat="1" applyFont="1" applyBorder="1" applyAlignment="1">
      <alignment horizontal="right" vertical="center"/>
    </xf>
    <xf numFmtId="176" fontId="1" fillId="0" borderId="9" xfId="0" applyNumberFormat="1" applyFont="1" applyBorder="1" applyAlignment="1">
      <alignment horizontal="right" vertical="center"/>
    </xf>
    <xf numFmtId="0" fontId="1" fillId="0" borderId="21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176" fontId="1" fillId="0" borderId="1" xfId="0" applyNumberFormat="1" applyFont="1" applyBorder="1" applyAlignment="1">
      <alignment vertical="center"/>
    </xf>
    <xf numFmtId="176" fontId="1" fillId="0" borderId="47" xfId="0" applyNumberFormat="1" applyFont="1" applyBorder="1" applyAlignment="1">
      <alignment vertical="center"/>
    </xf>
    <xf numFmtId="176" fontId="1" fillId="0" borderId="28" xfId="0" applyNumberFormat="1" applyFont="1" applyBorder="1" applyAlignment="1">
      <alignment vertical="center"/>
    </xf>
    <xf numFmtId="176" fontId="1" fillId="0" borderId="54" xfId="0" applyNumberFormat="1" applyFont="1" applyBorder="1" applyAlignment="1">
      <alignment vertical="center"/>
    </xf>
    <xf numFmtId="0" fontId="0" fillId="0" borderId="32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0" fontId="1" fillId="0" borderId="55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176" fontId="1" fillId="0" borderId="2" xfId="0" applyNumberFormat="1" applyFont="1" applyBorder="1" applyAlignment="1">
      <alignment vertical="center"/>
    </xf>
    <xf numFmtId="176" fontId="1" fillId="0" borderId="46" xfId="0" applyNumberFormat="1" applyFont="1" applyBorder="1" applyAlignment="1">
      <alignment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20" fontId="0" fillId="2" borderId="21" xfId="0" applyNumberFormat="1" applyFill="1" applyBorder="1" applyAlignment="1">
      <alignment horizontal="center" vertical="center"/>
    </xf>
    <xf numFmtId="20" fontId="0" fillId="2" borderId="23" xfId="0" applyNumberFormat="1" applyFill="1" applyBorder="1" applyAlignment="1">
      <alignment horizontal="center" vertical="center"/>
    </xf>
    <xf numFmtId="20" fontId="0" fillId="2" borderId="24" xfId="0" applyNumberFormat="1" applyFill="1" applyBorder="1" applyAlignment="1">
      <alignment horizontal="center" vertical="center"/>
    </xf>
    <xf numFmtId="20" fontId="1" fillId="2" borderId="21" xfId="0" applyNumberFormat="1" applyFont="1" applyFill="1" applyBorder="1" applyAlignment="1">
      <alignment horizontal="center" vertical="center"/>
    </xf>
    <xf numFmtId="20" fontId="1" fillId="2" borderId="23" xfId="0" applyNumberFormat="1" applyFont="1" applyFill="1" applyBorder="1" applyAlignment="1">
      <alignment horizontal="center" vertical="center"/>
    </xf>
    <xf numFmtId="20" fontId="1" fillId="2" borderId="24" xfId="0" applyNumberFormat="1" applyFont="1" applyFill="1" applyBorder="1" applyAlignment="1">
      <alignment horizontal="center" vertical="center"/>
    </xf>
  </cellXfs>
  <cellStyles count="3">
    <cellStyle name="パーセント" xfId="1" builtinId="5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son2.rtdserver2">
      <tp t="e">
        <v>#N/A</v>
        <stp/>
        <stp>四本値</stp>
        <stp>=FCANDLE($K$2,$K$3,$K$4,$K$5,"出来高",H3,$K$6,$K$7)</stp>
        <tr r="M8" s="3"/>
      </tp>
      <tp t="e">
        <v>#N/A</v>
        <stp/>
        <stp>四本値</stp>
        <stp>=FCANDLE($K$2,$K$3,$K$4,$K$5,"市場コード",A3,$K$6,$K$7)</stp>
        <tr r="M1" s="3"/>
      </tp>
      <tp t="e">
        <v>#N/A</v>
        <stp/>
        <stp>四本値</stp>
        <stp>=FCANDLE($K$2,$K$3,$K$4,$K$5,"約定時刻",C3,$K$6,$K$7)</stp>
        <tr r="M3" s="3"/>
      </tp>
      <tp t="e">
        <v>#N/A</v>
        <stp/>
        <stp>四本値</stp>
        <stp>=FCANDLE($K$2,$K$3,$K$4,$K$5,"取引日付",B3,$K$6,$K$7)</stp>
        <tr r="M2" s="3"/>
      </tp>
      <tp t="e">
        <v>#N/A</v>
        <stp/>
        <stp>四本値</stp>
        <stp>=FCANDLE($K$2,$K$3,$K$4,$K$5,"始値",D3,$K$6,$K$7)</stp>
        <tr r="M4" s="3"/>
      </tp>
      <tp t="e">
        <v>#N/A</v>
        <stp/>
        <stp>四本値</stp>
        <stp>=FCANDLE($K$2,$K$3,$K$4,$K$5,"安値",F3,$K$6,$K$7)</stp>
        <tr r="M6" s="3"/>
      </tp>
      <tp t="e">
        <v>#N/A</v>
        <stp/>
        <stp>四本値</stp>
        <stp>=FCANDLE($K$2,$K$3,$K$4,$K$5,"終値",G3,$K$6,$K$7)</stp>
        <tr r="M7" s="3"/>
      </tp>
      <tp t="e">
        <v>#N/A</v>
        <stp/>
        <stp>四本値</stp>
        <stp>=FCANDLE($K$2,$K$3,$K$4,$K$5,"高値",E3,$K$6,$K$7)</stp>
        <tr r="M5" s="3"/>
      </tp>
    </main>
    <main first="oson2.rtdserver">
      <tp t="s">
        <v>166030019</v>
        <stp/>
        <stp>FQUOTE</stp>
        <stp>N225mini</stp>
        <stp>0</stp>
        <stp>銘柄コード</stp>
        <tr r="G2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78105</xdr:colOff>
      <xdr:row>0</xdr:row>
      <xdr:rowOff>85725</xdr:rowOff>
    </xdr:from>
    <xdr:to>
      <xdr:col>14</xdr:col>
      <xdr:colOff>462965</xdr:colOff>
      <xdr:row>19</xdr:row>
      <xdr:rowOff>114301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69C7485-E0B9-407D-B793-63EB934663B5}"/>
            </a:ext>
          </a:extLst>
        </xdr:cNvPr>
        <xdr:cNvSpPr txBox="1"/>
      </xdr:nvSpPr>
      <xdr:spPr>
        <a:xfrm>
          <a:off x="6543675" y="85725"/>
          <a:ext cx="4552950" cy="3286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</a:t>
          </a:r>
          <a:r>
            <a:rPr kumimoji="1" lang="ja-JP" altLang="en-US" sz="1100"/>
            <a:t>データが取得できない場合は下記のリンク先の案内を確認下さい</a:t>
          </a:r>
          <a:r>
            <a:rPr kumimoji="1" lang="en-US" altLang="ja-JP" sz="1100"/>
            <a:t>】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セル上に「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#N/A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」が表示され、データが取得できない場合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　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http://qa.okasan-online.co.jp/faq_detail.html?id=550</a:t>
          </a: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セル上に「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#N/A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」が表示され、データが取得できない場合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　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http://qa.okasan-online.co.jp/faq_detail.html?id=551</a:t>
          </a:r>
          <a:endParaRPr lang="ja-JP" altLang="ja-JP">
            <a:effectLst/>
          </a:endParaRPr>
        </a:p>
        <a:p>
          <a:endParaRPr kumimoji="1" lang="en-US" altLang="ja-JP" sz="1100"/>
        </a:p>
        <a:p>
          <a:pPr>
            <a:lnSpc>
              <a:spcPts val="1300"/>
            </a:lnSpc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セル上に「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#NAME?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」が表示され、データが取得できない場合</a:t>
          </a:r>
          <a:endParaRPr lang="ja-JP" altLang="ja-JP">
            <a:effectLst/>
          </a:endParaRPr>
        </a:p>
        <a:p>
          <a:pPr>
            <a:lnSpc>
              <a:spcPts val="1300"/>
            </a:lnSpc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 </a:t>
          </a:r>
          <a:r>
            <a:rPr kumimoji="1" lang="ja-JP" altLang="ja-JP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http://qa.okasan-online.co.jp/faq_detail.html?id=552</a:t>
          </a: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ts val="13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セル上に「</a:t>
          </a:r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#VALUE!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」が表示され、データが取得できない場合</a:t>
          </a:r>
          <a:endParaRPr lang="ja-JP" altLang="ja-JP">
            <a:effectLst/>
          </a:endParaRPr>
        </a:p>
        <a:p>
          <a:pPr>
            <a:lnSpc>
              <a:spcPts val="1300"/>
            </a:lnSpc>
          </a:pP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 </a:t>
          </a:r>
          <a:r>
            <a:rPr kumimoji="1" lang="ja-JP" altLang="ja-JP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http://qa.okasan-online.co.jp/faq_detail.html?id=553</a:t>
          </a:r>
        </a:p>
        <a:p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>
            <a:lnSpc>
              <a:spcPts val="1300"/>
            </a:lnSpc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上記案内のご対応をいただいても問題が解決しない場合は、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アドインの設定が正しく行われていない場合があります。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>
            <a:lnSpc>
              <a:spcPts val="1300"/>
            </a:lnSpc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下記のリンク先より、設定方法をご確認ください。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>
            <a:lnSpc>
              <a:spcPts val="1300"/>
            </a:lnSpc>
          </a:pPr>
          <a:r>
            <a:rPr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　 </a:t>
          </a:r>
          <a:r>
            <a:rPr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http://www.okasan-online.co.jp/ont/rss/install/</a:t>
          </a:r>
          <a:endParaRPr lang="ja-JP" altLang="ja-JP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Okasan%20Online%20Securities%20Co.,Ltd/&#23713;&#19977;RSS/&#23713;&#19977;RSS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Okasan%20Online%20Securities%20Co.,Ltd/&#23713;&#19977;RSS/AddIn/&#23713;&#19977;RS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岡三RSS"/>
    </sheetNames>
    <definedNames>
      <definedName name="FBOARD"/>
      <definedName name="fneworder"/>
      <definedName name="FQUOTE"/>
      <definedName name="FTICK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FCANDLE"/>
      <definedName name="FQUOT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4"/>
  <sheetViews>
    <sheetView workbookViewId="0">
      <selection activeCell="E24" sqref="E24"/>
    </sheetView>
  </sheetViews>
  <sheetFormatPr defaultRowHeight="13.5" customHeight="1" x14ac:dyDescent="0.2"/>
  <cols>
    <col min="1" max="1" width="12.6640625" customWidth="1"/>
    <col min="2" max="2" width="10.6640625" customWidth="1"/>
    <col min="3" max="3" width="10.33203125" customWidth="1"/>
    <col min="4" max="4" width="10.6640625" customWidth="1"/>
    <col min="5" max="5" width="10.33203125" customWidth="1"/>
    <col min="6" max="6" width="10.6640625" customWidth="1"/>
    <col min="7" max="7" width="10.44140625" customWidth="1"/>
  </cols>
  <sheetData>
    <row r="1" spans="1:7" ht="13.5" customHeight="1" x14ac:dyDescent="0.2">
      <c r="A1" s="134" t="s">
        <v>0</v>
      </c>
      <c r="B1" s="135"/>
      <c r="C1" s="135"/>
      <c r="D1" s="135"/>
      <c r="E1" s="135"/>
      <c r="F1" s="135"/>
      <c r="G1" s="136"/>
    </row>
    <row r="2" spans="1:7" ht="13.5" customHeight="1" x14ac:dyDescent="0.2">
      <c r="A2" s="18" t="s">
        <v>120</v>
      </c>
      <c r="B2" s="126">
        <v>0</v>
      </c>
      <c r="C2" s="121"/>
      <c r="D2" s="137" t="e">
        <f ca="1">[1]!FQUOTE($A$2,$B$2,"銘柄名")</f>
        <v>#NAME?</v>
      </c>
      <c r="E2" s="138"/>
      <c r="F2" s="138"/>
      <c r="G2" s="139"/>
    </row>
    <row r="3" spans="1:7" ht="13.5" customHeight="1" x14ac:dyDescent="0.2">
      <c r="A3" s="21" t="s">
        <v>1</v>
      </c>
      <c r="B3" s="19" t="e">
        <f ca="1">[1]!FQUOTE($A$2,$B$2,"現在値")</f>
        <v>#NAME?</v>
      </c>
      <c r="C3" s="4" t="s">
        <v>17</v>
      </c>
      <c r="D3" s="5" t="e">
        <f ca="1">[1]!FQUOTE($A$2,$B$2,"前日比")</f>
        <v>#NAME?</v>
      </c>
      <c r="E3" s="6" t="e">
        <f ca="1">"("&amp;[1]!FQUOTE($A$2,$B$2,"前日比率")&amp;")"</f>
        <v>#NAME?</v>
      </c>
      <c r="F3" s="4" t="s">
        <v>20</v>
      </c>
      <c r="G3" s="7" t="e">
        <f ca="1">[1]!FQUOTE($A$2,$B$2,"出来高")</f>
        <v>#NAME?</v>
      </c>
    </row>
    <row r="4" spans="1:7" ht="13.5" customHeight="1" x14ac:dyDescent="0.2">
      <c r="A4" s="22" t="s">
        <v>2</v>
      </c>
      <c r="B4" s="20" t="e">
        <f ca="1">[1]!FQUOTE($A$2,$B$2,"売買代金")</f>
        <v>#NAME?</v>
      </c>
      <c r="C4" s="1" t="s">
        <v>18</v>
      </c>
      <c r="D4" s="140" t="e">
        <f ca="1">[1]!FQUOTE($A$2,$B$2,"建玉残高")</f>
        <v>#NAME?</v>
      </c>
      <c r="E4" s="141"/>
      <c r="F4" s="1" t="s">
        <v>21</v>
      </c>
      <c r="G4" s="3" t="e">
        <f ca="1">[1]!FQUOTE($A$2,$B$2,"理論価格")</f>
        <v>#NAME?</v>
      </c>
    </row>
    <row r="5" spans="1:7" ht="13.5" customHeight="1" x14ac:dyDescent="0.2">
      <c r="A5" s="23" t="s">
        <v>3</v>
      </c>
      <c r="B5" s="9" t="e">
        <f ca="1">[1]!FQUOTE($A$2,$B$2,"前日終値")</f>
        <v>#NAME?</v>
      </c>
      <c r="C5" s="2" t="s">
        <v>19</v>
      </c>
      <c r="D5" s="142" t="e">
        <f ca="1">[1]!FQUOTE($A$2,$B$2,"HV")</f>
        <v>#NAME?</v>
      </c>
      <c r="E5" s="143"/>
      <c r="F5" s="2" t="s">
        <v>22</v>
      </c>
      <c r="G5" s="8" t="e">
        <f ca="1">[1]!FQUOTE($A$2,$B$2,"ベーシス")</f>
        <v>#NAME?</v>
      </c>
    </row>
    <row r="6" spans="1:7" ht="13.5" customHeight="1" x14ac:dyDescent="0.2">
      <c r="A6" s="24"/>
      <c r="B6" s="144" t="s">
        <v>91</v>
      </c>
      <c r="C6" s="145"/>
      <c r="D6" s="144" t="s">
        <v>98</v>
      </c>
      <c r="E6" s="145"/>
      <c r="F6" s="146" t="s">
        <v>4</v>
      </c>
      <c r="G6" s="145"/>
    </row>
    <row r="7" spans="1:7" ht="13.5" customHeight="1" x14ac:dyDescent="0.2">
      <c r="A7" s="15" t="s">
        <v>5</v>
      </c>
      <c r="B7" s="82" t="e">
        <f ca="1">[1]!FQUOTE($A$2,$B$2,"日中始値")</f>
        <v>#NAME?</v>
      </c>
      <c r="C7" s="83" t="e">
        <f ca="1">[1]!FQUOTE($A$2,$B$2,"日中始値時間")</f>
        <v>#NAME?</v>
      </c>
      <c r="D7" s="82" t="e">
        <f ca="1">[1]!FQUOTE($A$2,$B$2,"夜間始値")</f>
        <v>#NAME?</v>
      </c>
      <c r="E7" s="83" t="e">
        <f ca="1">[1]!FQUOTE($A$2,$B$2,"夜間始値時刻")</f>
        <v>#NAME?</v>
      </c>
      <c r="F7" s="84" t="e">
        <f ca="1">[1]!FQUOTE($A$2,$B$2,"始値")</f>
        <v>#NAME?</v>
      </c>
      <c r="G7" s="83" t="e">
        <f ca="1">[1]!FQUOTE($A$2,$B$2,"始値時刻")</f>
        <v>#NAME?</v>
      </c>
    </row>
    <row r="8" spans="1:7" ht="13.5" customHeight="1" x14ac:dyDescent="0.2">
      <c r="A8" s="16" t="s">
        <v>6</v>
      </c>
      <c r="B8" s="85" t="e">
        <f ca="1">[1]!FQUOTE($A$2,$B$2,"日中高値")</f>
        <v>#NAME?</v>
      </c>
      <c r="C8" s="86" t="e">
        <f ca="1">[1]!FQUOTE($A$2,$B$2,"日中高値時間")</f>
        <v>#NAME?</v>
      </c>
      <c r="D8" s="85" t="e">
        <f ca="1">[1]!FQUOTE($A$2,$B$2,"夜間高値")</f>
        <v>#NAME?</v>
      </c>
      <c r="E8" s="86" t="e">
        <f ca="1">[1]!FQUOTE($A$2,$B$2,"夜間高値時刻")</f>
        <v>#NAME?</v>
      </c>
      <c r="F8" s="87" t="e">
        <f ca="1">[1]!FQUOTE($A$2,$B$2,"高値")</f>
        <v>#NAME?</v>
      </c>
      <c r="G8" s="88" t="e">
        <f ca="1">[1]!FQUOTE($A$2,$B$2,"高値時刻")</f>
        <v>#NAME?</v>
      </c>
    </row>
    <row r="9" spans="1:7" ht="13.5" customHeight="1" x14ac:dyDescent="0.2">
      <c r="A9" s="16" t="s">
        <v>7</v>
      </c>
      <c r="B9" s="85" t="e">
        <f ca="1">[1]!FQUOTE($A$2,$B$2,"日中安値")</f>
        <v>#NAME?</v>
      </c>
      <c r="C9" s="86" t="e">
        <f ca="1">[1]!FQUOTE($A$2,$B$2,"日中安値時間")</f>
        <v>#NAME?</v>
      </c>
      <c r="D9" s="85" t="e">
        <f ca="1">[1]!FQUOTE($A$2,$B$2,"夜間安値")</f>
        <v>#NAME?</v>
      </c>
      <c r="E9" s="86" t="e">
        <f ca="1">[1]!FQUOTE($A$2,$B$2,"夜間安値時刻")</f>
        <v>#NAME?</v>
      </c>
      <c r="F9" s="87" t="e">
        <f ca="1">[1]!FQUOTE($A$2,$B$2,"安値")</f>
        <v>#NAME?</v>
      </c>
      <c r="G9" s="88" t="e">
        <f ca="1">[1]!FQUOTE($A$2,$B$2,"安値時刻")</f>
        <v>#NAME?</v>
      </c>
    </row>
    <row r="10" spans="1:7" ht="13.5" customHeight="1" x14ac:dyDescent="0.2">
      <c r="A10" s="17" t="s">
        <v>8</v>
      </c>
      <c r="B10" s="89" t="e">
        <f ca="1">[1]!FQUOTE($A$2,$B$2,"日中終値")</f>
        <v>#NAME?</v>
      </c>
      <c r="C10" s="90" t="e">
        <f ca="1">[1]!FQUOTE($A$2,$B$2,"日中終値時間")</f>
        <v>#NAME?</v>
      </c>
      <c r="D10" s="89" t="e">
        <f ca="1">[1]!FQUOTE($A$2,$B$2,"夜間終値")</f>
        <v>#NAME?</v>
      </c>
      <c r="E10" s="90" t="e">
        <f ca="1">[1]!FQUOTE($A$2,$B$2,"夜間終値時刻")</f>
        <v>#NAME?</v>
      </c>
      <c r="F10" s="91" t="e">
        <f ca="1">[1]!FQUOTE($A$2,$B$2,"夜間終値")</f>
        <v>#NAME?</v>
      </c>
      <c r="G10" s="92" t="e">
        <f ca="1">[1]!FQUOTE($A$2,$B$2,"夜間終値時刻")</f>
        <v>#NAME?</v>
      </c>
    </row>
    <row r="11" spans="1:7" ht="13.5" customHeight="1" x14ac:dyDescent="0.2">
      <c r="A11" s="25" t="s">
        <v>9</v>
      </c>
      <c r="B11" s="120" t="s">
        <v>10</v>
      </c>
      <c r="C11" s="121"/>
      <c r="D11" s="126" t="s">
        <v>11</v>
      </c>
      <c r="E11" s="126"/>
      <c r="F11" s="120" t="s">
        <v>12</v>
      </c>
      <c r="G11" s="121"/>
    </row>
    <row r="12" spans="1:7" ht="13.5" customHeight="1" x14ac:dyDescent="0.2">
      <c r="A12" s="10" t="e">
        <f ca="1">[1]!FQUOTE($A$2,$B$2,"値幅下限")</f>
        <v>#NAME?</v>
      </c>
      <c r="B12" s="122" t="e">
        <f ca="1">[1]!FQUOTE($A$2,$B$2,"上場来高値")</f>
        <v>#NAME?</v>
      </c>
      <c r="C12" s="123"/>
      <c r="D12" s="127" t="e">
        <f ca="1">[1]!FQUOTE($A$2,$B$2,"SQ日")</f>
        <v>#NAME?</v>
      </c>
      <c r="E12" s="127"/>
      <c r="F12" s="130" t="e">
        <f ca="1">[1]!FQUOTE($A$2,$B$2,"日経平均年初来高値")</f>
        <v>#NAME?</v>
      </c>
      <c r="G12" s="131"/>
    </row>
    <row r="13" spans="1:7" ht="13.5" customHeight="1" x14ac:dyDescent="0.2">
      <c r="A13" s="11" t="e">
        <f ca="1">[1]!FQUOTE($A$2,$B$2,"値幅上限")</f>
        <v>#NAME?</v>
      </c>
      <c r="B13" s="122" t="e">
        <f ca="1">[1]!FQUOTE($A$2,$B$2,"上場来高値日付")</f>
        <v>#NAME?</v>
      </c>
      <c r="C13" s="123"/>
      <c r="D13" s="128" t="e">
        <f ca="1">[1]!FQUOTE($A$2,$B$2,"残存日数")</f>
        <v>#NAME?</v>
      </c>
      <c r="E13" s="128"/>
      <c r="F13" s="132" t="e">
        <f ca="1">[1]!FQUOTE($A$2,$B$2,"日経平均年初来高値日付")</f>
        <v>#NAME?</v>
      </c>
      <c r="G13" s="133"/>
    </row>
    <row r="14" spans="1:7" ht="13.5" customHeight="1" x14ac:dyDescent="0.2">
      <c r="A14" s="25" t="s">
        <v>13</v>
      </c>
      <c r="B14" s="120" t="s">
        <v>14</v>
      </c>
      <c r="C14" s="121"/>
      <c r="D14" s="126" t="s">
        <v>15</v>
      </c>
      <c r="E14" s="126"/>
      <c r="F14" s="120" t="s">
        <v>16</v>
      </c>
      <c r="G14" s="121"/>
    </row>
    <row r="15" spans="1:7" ht="13.5" customHeight="1" x14ac:dyDescent="0.2">
      <c r="A15" s="10" t="e">
        <f ca="1">[1]!FQUOTE($A$2,$B$2,"売気配値")</f>
        <v>#NAME?</v>
      </c>
      <c r="B15" s="122" t="e">
        <f ca="1">[1]!FQUOTE($A$2,$B$2,"上場来安値")</f>
        <v>#NAME?</v>
      </c>
      <c r="C15" s="123"/>
      <c r="D15" s="129" t="e">
        <f ca="1">[1]!FQUOTE($A$2,$B$2,"日経平均")</f>
        <v>#NAME?</v>
      </c>
      <c r="E15" s="129"/>
      <c r="F15" s="130" t="e">
        <f ca="1">[1]!FQUOTE($A$2,$B$2,"日経平均年初来安値")</f>
        <v>#NAME?</v>
      </c>
      <c r="G15" s="131"/>
    </row>
    <row r="16" spans="1:7" ht="13.5" customHeight="1" x14ac:dyDescent="0.2">
      <c r="A16" s="12" t="e">
        <f ca="1">[1]!FQUOTE($A$2,$B$2,"買気配値")</f>
        <v>#NAME?</v>
      </c>
      <c r="B16" s="118" t="e">
        <f ca="1">[1]!FQUOTE($A$2,$B$2,"上場来安値日付")</f>
        <v>#NAME?</v>
      </c>
      <c r="C16" s="119"/>
      <c r="D16" s="13" t="e">
        <f ca="1">[1]!FQUOTE($A$2,$B$2,"日経平均前日比")</f>
        <v>#NAME?</v>
      </c>
      <c r="E16" s="14" t="e">
        <f ca="1">"("&amp;[1]!FQUOTE($A$2,$B$2,"日経平均前日比率")&amp;"%)"</f>
        <v>#NAME?</v>
      </c>
      <c r="F16" s="124" t="e">
        <f ca="1">[1]!FQUOTE($A$2,$B$2,"日経平均年初来安値日付")</f>
        <v>#NAME?</v>
      </c>
      <c r="G16" s="125"/>
    </row>
    <row r="24" spans="7:7" ht="13.5" customHeight="1" x14ac:dyDescent="0.2">
      <c r="G24" t="str">
        <f>[2]!FQUOTE("N225mini","0","銘柄コード")</f>
        <v>166030019</v>
      </c>
    </row>
  </sheetData>
  <mergeCells count="25">
    <mergeCell ref="A1:G1"/>
    <mergeCell ref="B2:C2"/>
    <mergeCell ref="D2:G2"/>
    <mergeCell ref="D4:E4"/>
    <mergeCell ref="F15:G15"/>
    <mergeCell ref="B15:C15"/>
    <mergeCell ref="F14:G14"/>
    <mergeCell ref="D5:E5"/>
    <mergeCell ref="B6:C6"/>
    <mergeCell ref="D6:E6"/>
    <mergeCell ref="F6:G6"/>
    <mergeCell ref="F16:G16"/>
    <mergeCell ref="D11:E11"/>
    <mergeCell ref="D12:E12"/>
    <mergeCell ref="D13:E13"/>
    <mergeCell ref="D14:E14"/>
    <mergeCell ref="D15:E15"/>
    <mergeCell ref="F11:G11"/>
    <mergeCell ref="F12:G12"/>
    <mergeCell ref="F13:G13"/>
    <mergeCell ref="B16:C16"/>
    <mergeCell ref="B11:C11"/>
    <mergeCell ref="B12:C12"/>
    <mergeCell ref="B13:C13"/>
    <mergeCell ref="B14:C14"/>
  </mergeCells>
  <phoneticPr fontId="2"/>
  <pageMargins left="0.75" right="0.75" top="1" bottom="1" header="0.51200000000000001" footer="0.51200000000000001"/>
  <pageSetup paperSize="9" orientation="landscape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3"/>
  <sheetViews>
    <sheetView showZeros="0" workbookViewId="0">
      <selection activeCell="I29" sqref="I29:I30"/>
    </sheetView>
  </sheetViews>
  <sheetFormatPr defaultColWidth="9" defaultRowHeight="13.5" customHeight="1" x14ac:dyDescent="0.2"/>
  <cols>
    <col min="1" max="2" width="8.109375" style="26" customWidth="1"/>
    <col min="3" max="5" width="10.6640625" style="26" customWidth="1"/>
    <col min="6" max="6" width="1.88671875" style="26" customWidth="1"/>
    <col min="7" max="16384" width="9" style="26"/>
  </cols>
  <sheetData>
    <row r="1" spans="1:6" ht="13.5" customHeight="1" x14ac:dyDescent="0.2">
      <c r="A1" s="155" t="s">
        <v>23</v>
      </c>
      <c r="B1" s="156"/>
      <c r="C1" s="156"/>
      <c r="D1" s="156"/>
      <c r="E1" s="157"/>
    </row>
    <row r="2" spans="1:6" ht="13.5" customHeight="1" x14ac:dyDescent="0.2">
      <c r="A2" s="151" t="s">
        <v>121</v>
      </c>
      <c r="B2" s="153">
        <v>0</v>
      </c>
      <c r="C2" s="144" t="e">
        <f ca="1">[1]!FQUOTE($A$2,$B$2,"銘柄名")</f>
        <v>#NAME?</v>
      </c>
      <c r="D2" s="146"/>
      <c r="E2" s="145"/>
    </row>
    <row r="3" spans="1:6" ht="13.5" customHeight="1" x14ac:dyDescent="0.2">
      <c r="A3" s="152"/>
      <c r="B3" s="154"/>
      <c r="C3" s="27" t="s">
        <v>24</v>
      </c>
      <c r="D3" s="28" t="e">
        <f ca="1">[1]!FQUOTE($A$2,$B$2,"前日比")</f>
        <v>#NAME?</v>
      </c>
      <c r="E3" s="29" t="e">
        <f ca="1">"("&amp;[1]!FQUOTE($A$2,$B$2,"前日比率")&amp;")"</f>
        <v>#NAME?</v>
      </c>
    </row>
    <row r="4" spans="1:6" ht="13.5" customHeight="1" x14ac:dyDescent="0.2">
      <c r="A4" s="30" t="s">
        <v>1</v>
      </c>
      <c r="B4" s="31" t="e">
        <f ca="1">[1]!FQUOTE($A$2,$B$2,"現在値")</f>
        <v>#NAME?</v>
      </c>
      <c r="C4" s="32" t="s">
        <v>25</v>
      </c>
      <c r="D4" s="160" t="s">
        <v>26</v>
      </c>
      <c r="E4" s="34" t="s">
        <v>27</v>
      </c>
      <c r="F4" s="35"/>
    </row>
    <row r="5" spans="1:6" ht="13.5" customHeight="1" x14ac:dyDescent="0.2">
      <c r="A5" s="30" t="s">
        <v>20</v>
      </c>
      <c r="B5" s="31" t="e">
        <f ca="1">[1]!FQUOTE($A$2,$B$2,"出来高")</f>
        <v>#NAME?</v>
      </c>
      <c r="C5" s="36" t="e">
        <f ca="1">1-E5</f>
        <v>#NAME?</v>
      </c>
      <c r="D5" s="161"/>
      <c r="E5" s="37" t="e">
        <f ca="1">[1]!FQUOTE($A$2,$B$2,"買付強度")</f>
        <v>#NAME?</v>
      </c>
    </row>
    <row r="6" spans="1:6" ht="13.5" customHeight="1" x14ac:dyDescent="0.2">
      <c r="A6" s="162" t="s">
        <v>28</v>
      </c>
      <c r="B6" s="163"/>
      <c r="C6" s="38" t="s">
        <v>29</v>
      </c>
      <c r="D6" s="33" t="s">
        <v>30</v>
      </c>
      <c r="E6" s="34" t="s">
        <v>31</v>
      </c>
    </row>
    <row r="7" spans="1:6" ht="13.5" customHeight="1" x14ac:dyDescent="0.2">
      <c r="A7" s="164"/>
      <c r="B7" s="165"/>
      <c r="C7" s="39" t="e">
        <f ca="1">[1]!FBOARD(A2,B2,"成行売気配数量")</f>
        <v>#NAME?</v>
      </c>
      <c r="D7" s="40" t="s">
        <v>32</v>
      </c>
      <c r="E7" s="41" t="e">
        <f ca="1">[1]!FBOARD(A2,B2,"成行買気配数量")</f>
        <v>#NAME?</v>
      </c>
    </row>
    <row r="8" spans="1:6" ht="13.5" customHeight="1" x14ac:dyDescent="0.2">
      <c r="A8" s="149" t="e">
        <f ca="1">[1]!FBOARD(A2,B2,"出来高-2")</f>
        <v>#NAME?</v>
      </c>
      <c r="B8" s="150"/>
      <c r="C8" s="42" t="e">
        <f ca="1">[1]!FBOARD(A2,B2,"売気配数量-2")</f>
        <v>#NAME?</v>
      </c>
      <c r="D8" s="43" t="e">
        <f ca="1">[1]!FBOARD(A2,B2,"気配値-2")</f>
        <v>#NAME?</v>
      </c>
      <c r="E8" s="44" t="e">
        <f ca="1">[1]!FBOARD(A2,B2,"買気配数量-2")</f>
        <v>#NAME?</v>
      </c>
    </row>
    <row r="9" spans="1:6" ht="13.5" customHeight="1" x14ac:dyDescent="0.2">
      <c r="A9" s="147" t="e">
        <f ca="1">[1]!FBOARD(A2,B2,"出来高-1")</f>
        <v>#NAME?</v>
      </c>
      <c r="B9" s="148"/>
      <c r="C9" s="45" t="e">
        <f ca="1">[1]!FBOARD(A2,B2,"売気配数量-1")</f>
        <v>#NAME?</v>
      </c>
      <c r="D9" s="46" t="e">
        <f ca="1">[1]!FBOARD(A2,B2,"気配値-1")</f>
        <v>#NAME?</v>
      </c>
      <c r="E9" s="47" t="e">
        <f ca="1">[1]!FBOARD(A2,B2,"買気配数量-1")</f>
        <v>#NAME?</v>
      </c>
    </row>
    <row r="10" spans="1:6" ht="13.5" customHeight="1" x14ac:dyDescent="0.2">
      <c r="A10" s="147" t="e">
        <f ca="1">[1]!FBOARD(A2,B2,"出来高0")</f>
        <v>#NAME?</v>
      </c>
      <c r="B10" s="148"/>
      <c r="C10" s="45" t="e">
        <f ca="1">[1]!FBOARD(A2,B2,"売気配数量0")</f>
        <v>#NAME?</v>
      </c>
      <c r="D10" s="46" t="e">
        <f ca="1">[1]!FBOARD(A2,B2,"気配値0")</f>
        <v>#NAME?</v>
      </c>
      <c r="E10" s="47" t="e">
        <f ca="1">[1]!FBOARD(A2,B2,"買気配数量0")</f>
        <v>#NAME?</v>
      </c>
    </row>
    <row r="11" spans="1:6" ht="13.5" customHeight="1" x14ac:dyDescent="0.2">
      <c r="A11" s="147" t="e">
        <f ca="1">[1]!FBOARD(A2,B2,"出来高1")</f>
        <v>#NAME?</v>
      </c>
      <c r="B11" s="148"/>
      <c r="C11" s="45" t="e">
        <f ca="1">[1]!FBOARD(A2,B2,"売気配数量1")</f>
        <v>#NAME?</v>
      </c>
      <c r="D11" s="46" t="e">
        <f ca="1">[1]!FBOARD(A2,B2,"気配値1")</f>
        <v>#NAME?</v>
      </c>
      <c r="E11" s="47" t="e">
        <f ca="1">[1]!FBOARD(A2,B2,"買気配数量1")</f>
        <v>#NAME?</v>
      </c>
    </row>
    <row r="12" spans="1:6" ht="13.5" customHeight="1" x14ac:dyDescent="0.2">
      <c r="A12" s="147" t="e">
        <f ca="1">[1]!FBOARD(A2,B2,"出来高2")</f>
        <v>#NAME?</v>
      </c>
      <c r="B12" s="148"/>
      <c r="C12" s="45" t="e">
        <f ca="1">[1]!FBOARD(A2,B2,"売気配数量2")</f>
        <v>#NAME?</v>
      </c>
      <c r="D12" s="46" t="e">
        <f ca="1">[1]!FBOARD(A2,B2,"気配値2")</f>
        <v>#NAME?</v>
      </c>
      <c r="E12" s="47" t="e">
        <f ca="1">[1]!FBOARD(A2,B2,"買気配数量2")</f>
        <v>#NAME?</v>
      </c>
    </row>
    <row r="13" spans="1:6" ht="13.5" customHeight="1" x14ac:dyDescent="0.2">
      <c r="A13" s="147" t="e">
        <f ca="1">[1]!FBOARD(A2,B2,"出来高3")</f>
        <v>#NAME?</v>
      </c>
      <c r="B13" s="148"/>
      <c r="C13" s="45" t="e">
        <f ca="1">[1]!FBOARD(A2,B2,"売気配数量3")</f>
        <v>#NAME?</v>
      </c>
      <c r="D13" s="46" t="e">
        <f ca="1">[1]!FBOARD(A2,B2,"気配値3")</f>
        <v>#NAME?</v>
      </c>
      <c r="E13" s="47" t="e">
        <f ca="1">[1]!FBOARD(A2,B2,"買気配数量3")</f>
        <v>#NAME?</v>
      </c>
    </row>
    <row r="14" spans="1:6" ht="13.5" customHeight="1" x14ac:dyDescent="0.2">
      <c r="A14" s="147" t="e">
        <f ca="1">[1]!FBOARD(A2,B2,"出来高4")</f>
        <v>#NAME?</v>
      </c>
      <c r="B14" s="148"/>
      <c r="C14" s="45" t="e">
        <f ca="1">[1]!FBOARD(A2,B2,"売気配数量4")</f>
        <v>#NAME?</v>
      </c>
      <c r="D14" s="46" t="e">
        <f ca="1">[1]!FBOARD(A2,B2,"気配値4")</f>
        <v>#NAME?</v>
      </c>
      <c r="E14" s="47" t="e">
        <f ca="1">[1]!FBOARD(A2,B2,"買気配数量4")</f>
        <v>#NAME?</v>
      </c>
    </row>
    <row r="15" spans="1:6" ht="13.5" customHeight="1" x14ac:dyDescent="0.2">
      <c r="A15" s="147" t="e">
        <f ca="1">[1]!FBOARD(A2,B2,"出来高5")</f>
        <v>#NAME?</v>
      </c>
      <c r="B15" s="148"/>
      <c r="C15" s="45" t="e">
        <f ca="1">[1]!FBOARD(A2,B2,"売気配数量5")</f>
        <v>#NAME?</v>
      </c>
      <c r="D15" s="46" t="e">
        <f ca="1">[1]!FBOARD(A2,B2,"気配値5")</f>
        <v>#NAME?</v>
      </c>
      <c r="E15" s="47" t="e">
        <f ca="1">[1]!FBOARD(A2,B2,"買気配数量5")</f>
        <v>#NAME?</v>
      </c>
    </row>
    <row r="16" spans="1:6" ht="13.5" customHeight="1" x14ac:dyDescent="0.2">
      <c r="A16" s="147" t="e">
        <f ca="1">[1]!FBOARD(A2,B2,"出来高6")</f>
        <v>#NAME?</v>
      </c>
      <c r="B16" s="148"/>
      <c r="C16" s="45" t="e">
        <f ca="1">[1]!FBOARD(A2,B2,"売気配数量6")</f>
        <v>#NAME?</v>
      </c>
      <c r="D16" s="46" t="e">
        <f ca="1">[1]!FBOARD(A2,B2,"気配値6")</f>
        <v>#NAME?</v>
      </c>
      <c r="E16" s="47" t="e">
        <f ca="1">[1]!FBOARD(A2,B2,"買気配数量6")</f>
        <v>#NAME?</v>
      </c>
    </row>
    <row r="17" spans="1:5" ht="13.5" customHeight="1" x14ac:dyDescent="0.2">
      <c r="A17" s="147" t="e">
        <f ca="1">[1]!FBOARD(A2,B2,"出来高7")</f>
        <v>#NAME?</v>
      </c>
      <c r="B17" s="148"/>
      <c r="C17" s="45" t="e">
        <f ca="1">[1]!FBOARD(A2,B2,"売気配数量7")</f>
        <v>#NAME?</v>
      </c>
      <c r="D17" s="46" t="e">
        <f ca="1">[1]!FBOARD(A2,B2,"気配値7")</f>
        <v>#NAME?</v>
      </c>
      <c r="E17" s="47" t="e">
        <f ca="1">[1]!FBOARD(A2,B2,"買気配数量7")</f>
        <v>#NAME?</v>
      </c>
    </row>
    <row r="18" spans="1:5" ht="13.5" customHeight="1" x14ac:dyDescent="0.2">
      <c r="A18" s="147" t="e">
        <f ca="1">[1]!FBOARD(A2,B2,"出来高8")</f>
        <v>#NAME?</v>
      </c>
      <c r="B18" s="148"/>
      <c r="C18" s="45" t="e">
        <f ca="1">[1]!FBOARD(A2,B2,"売気配数量8")</f>
        <v>#NAME?</v>
      </c>
      <c r="D18" s="46" t="e">
        <f ca="1">[1]!FBOARD(A2,B2,"気配値8")</f>
        <v>#NAME?</v>
      </c>
      <c r="E18" s="47" t="e">
        <f ca="1">[1]!FBOARD(A2,B2,"買気配数量8")</f>
        <v>#NAME?</v>
      </c>
    </row>
    <row r="19" spans="1:5" ht="13.5" customHeight="1" x14ac:dyDescent="0.2">
      <c r="A19" s="147" t="e">
        <f ca="1">[1]!FBOARD(A2,B2,"出来高9")</f>
        <v>#NAME?</v>
      </c>
      <c r="B19" s="148"/>
      <c r="C19" s="45" t="e">
        <f ca="1">[1]!FBOARD(A2,B2,"売気配数量9")</f>
        <v>#NAME?</v>
      </c>
      <c r="D19" s="46" t="e">
        <f ca="1">[1]!FBOARD(A2,B2,"気配値9")</f>
        <v>#NAME?</v>
      </c>
      <c r="E19" s="47" t="e">
        <f ca="1">[1]!FBOARD(A2,B2,"買気配数量9")</f>
        <v>#NAME?</v>
      </c>
    </row>
    <row r="20" spans="1:5" ht="13.5" customHeight="1" x14ac:dyDescent="0.2">
      <c r="A20" s="147" t="e">
        <f ca="1">[1]!FBOARD(A2,B2,"出来高10")</f>
        <v>#NAME?</v>
      </c>
      <c r="B20" s="148"/>
      <c r="C20" s="45" t="e">
        <f ca="1">[1]!FBOARD(A2,B2,"売気配数量10")</f>
        <v>#NAME?</v>
      </c>
      <c r="D20" s="46" t="e">
        <f ca="1">[1]!FBOARD(A2,B2,"気配値10")</f>
        <v>#NAME?</v>
      </c>
      <c r="E20" s="47" t="e">
        <f ca="1">[1]!FBOARD(A2,B2,"買気配数量10")</f>
        <v>#NAME?</v>
      </c>
    </row>
    <row r="21" spans="1:5" ht="13.5" customHeight="1" x14ac:dyDescent="0.2">
      <c r="A21" s="147" t="e">
        <f ca="1">[1]!FBOARD(A2,B2,"出来高11")</f>
        <v>#NAME?</v>
      </c>
      <c r="B21" s="148"/>
      <c r="C21" s="45" t="e">
        <f ca="1">[1]!FBOARD(A2,B2,"売気配数量11")</f>
        <v>#NAME?</v>
      </c>
      <c r="D21" s="46" t="e">
        <f ca="1">[1]!FBOARD(A2,B2,"気配値11")</f>
        <v>#NAME?</v>
      </c>
      <c r="E21" s="47" t="e">
        <f ca="1">[1]!FBOARD(A2,B2,"買気配数量11")</f>
        <v>#NAME?</v>
      </c>
    </row>
    <row r="22" spans="1:5" ht="13.5" customHeight="1" x14ac:dyDescent="0.2">
      <c r="A22" s="147" t="e">
        <f ca="1">[1]!FBOARD(A2,B2,"出来高12")</f>
        <v>#NAME?</v>
      </c>
      <c r="B22" s="148"/>
      <c r="C22" s="45" t="e">
        <f ca="1">[1]!FBOARD(A2,B2,"売気配数量12")</f>
        <v>#NAME?</v>
      </c>
      <c r="D22" s="46" t="e">
        <f ca="1">[1]!FBOARD(A2,B2,"気配値12")</f>
        <v>#NAME?</v>
      </c>
      <c r="E22" s="47" t="e">
        <f ca="1">[1]!FBOARD(A2,B2,"買気配数量12")</f>
        <v>#NAME?</v>
      </c>
    </row>
    <row r="23" spans="1:5" ht="13.5" customHeight="1" x14ac:dyDescent="0.2">
      <c r="A23" s="158" t="e">
        <f ca="1">[1]!FBOARD(A2,B2,"出来高13")</f>
        <v>#NAME?</v>
      </c>
      <c r="B23" s="159"/>
      <c r="C23" s="39" t="e">
        <f ca="1">[1]!FBOARD(A2,B2,"売気配数量13")</f>
        <v>#NAME?</v>
      </c>
      <c r="D23" s="40" t="e">
        <f ca="1">[1]!FBOARD(A2,B2,"気配値13")</f>
        <v>#NAME?</v>
      </c>
      <c r="E23" s="41" t="e">
        <f ca="1">[1]!FBOARD(A2,B2,"買気配数量13")</f>
        <v>#NAME?</v>
      </c>
    </row>
  </sheetData>
  <mergeCells count="22">
    <mergeCell ref="A1:E1"/>
    <mergeCell ref="A21:B21"/>
    <mergeCell ref="A22:B22"/>
    <mergeCell ref="A23:B23"/>
    <mergeCell ref="D4:D5"/>
    <mergeCell ref="A6:B7"/>
    <mergeCell ref="A17:B17"/>
    <mergeCell ref="A19:B19"/>
    <mergeCell ref="A18:B18"/>
    <mergeCell ref="A20:B20"/>
    <mergeCell ref="A11:B11"/>
    <mergeCell ref="A12:B12"/>
    <mergeCell ref="A13:B13"/>
    <mergeCell ref="A14:B14"/>
    <mergeCell ref="A15:B15"/>
    <mergeCell ref="A16:B16"/>
    <mergeCell ref="A10:B10"/>
    <mergeCell ref="C2:E2"/>
    <mergeCell ref="A8:B8"/>
    <mergeCell ref="A2:A3"/>
    <mergeCell ref="B2:B3"/>
    <mergeCell ref="A9:B9"/>
  </mergeCells>
  <phoneticPr fontId="2"/>
  <pageMargins left="0.75" right="0.75" top="1" bottom="1" header="0.51200000000000001" footer="0.51200000000000001"/>
  <pageSetup paperSize="9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2"/>
  <sheetViews>
    <sheetView tabSelected="1" workbookViewId="0">
      <selection activeCell="O29" sqref="O29"/>
    </sheetView>
  </sheetViews>
  <sheetFormatPr defaultRowHeight="13.2" x14ac:dyDescent="0.2"/>
  <cols>
    <col min="2" max="2" width="11.33203125" customWidth="1"/>
    <col min="9" max="9" width="3.109375" customWidth="1"/>
    <col min="12" max="12" width="3.109375" customWidth="1"/>
  </cols>
  <sheetData>
    <row r="1" spans="1:13" x14ac:dyDescent="0.2">
      <c r="A1" s="134" t="s">
        <v>33</v>
      </c>
      <c r="B1" s="135"/>
      <c r="C1" s="135"/>
      <c r="D1" s="135"/>
      <c r="E1" s="135"/>
      <c r="F1" s="135"/>
      <c r="G1" s="135"/>
      <c r="H1" s="136"/>
      <c r="J1" s="166" t="s">
        <v>34</v>
      </c>
      <c r="K1" s="167"/>
      <c r="M1" t="str">
        <f t="array" ref="M1">[2]!FCANDLE($K$2,$K$3,$K$4,$K$5,"市場コード",A3,$K$6,$K$7)</f>
        <v>FCANDLE($K$2,$K$3,$K$4,$K$5,"市場コード",A3,$K$6,$K$7)</v>
      </c>
    </row>
    <row r="2" spans="1:13" x14ac:dyDescent="0.2">
      <c r="A2" t="s">
        <v>35</v>
      </c>
      <c r="B2" t="s">
        <v>36</v>
      </c>
      <c r="C2" s="48" t="s">
        <v>37</v>
      </c>
      <c r="D2" t="s">
        <v>38</v>
      </c>
      <c r="E2" t="s">
        <v>6</v>
      </c>
      <c r="F2" t="s">
        <v>7</v>
      </c>
      <c r="G2" t="s">
        <v>8</v>
      </c>
      <c r="H2" t="s">
        <v>20</v>
      </c>
      <c r="J2" s="49" t="s">
        <v>39</v>
      </c>
      <c r="K2" s="50" t="s">
        <v>120</v>
      </c>
      <c r="M2" t="str">
        <f t="array" ref="M2">[2]!FCANDLE($K$2,$K$3,$K$4,$K$5,"取引日付",B3,$K$6,$K$7)</f>
        <v>FCANDLE($K$2,$K$3,$K$4,$K$5,"取引日付",B3,$K$6,$K$7)</v>
      </c>
    </row>
    <row r="3" spans="1:13" x14ac:dyDescent="0.2">
      <c r="A3" s="97" t="s">
        <v>119</v>
      </c>
      <c r="B3" s="73">
        <v>44194</v>
      </c>
      <c r="C3" s="97">
        <v>0.5</v>
      </c>
      <c r="D3">
        <v>27275</v>
      </c>
      <c r="E3">
        <v>27300</v>
      </c>
      <c r="F3">
        <v>27265</v>
      </c>
      <c r="G3">
        <v>27275</v>
      </c>
      <c r="H3">
        <v>5332</v>
      </c>
      <c r="J3" s="49" t="s">
        <v>40</v>
      </c>
      <c r="K3" s="52">
        <v>0</v>
      </c>
      <c r="M3" t="str">
        <f t="array" ref="M3">[2]!FCANDLE($K$2,$K$3,$K$4,$K$5,"約定時刻",C3,$K$6,$K$7)</f>
        <v>FCANDLE($K$2,$K$3,$K$4,$K$5,"約定時刻",C3,$K$6,$K$7)</v>
      </c>
    </row>
    <row r="4" spans="1:13" x14ac:dyDescent="0.2">
      <c r="A4" s="97" t="s">
        <v>119</v>
      </c>
      <c r="B4" s="73">
        <v>44194</v>
      </c>
      <c r="C4" s="97">
        <v>0.45833333333333331</v>
      </c>
      <c r="D4">
        <v>27230</v>
      </c>
      <c r="E4">
        <v>27320</v>
      </c>
      <c r="F4">
        <v>27225</v>
      </c>
      <c r="G4">
        <v>27280</v>
      </c>
      <c r="H4">
        <v>46585</v>
      </c>
      <c r="J4" s="49" t="s">
        <v>41</v>
      </c>
      <c r="K4" s="50">
        <v>60</v>
      </c>
      <c r="M4" t="str">
        <f t="array" ref="M4">[2]!FCANDLE($K$2,$K$3,$K$4,$K$5,"始値",D3,$K$6,$K$7)</f>
        <v>FCANDLE($K$2,$K$3,$K$4,$K$5,"始値",D3,$K$6,$K$7)</v>
      </c>
    </row>
    <row r="5" spans="1:13" x14ac:dyDescent="0.2">
      <c r="A5" s="97" t="s">
        <v>119</v>
      </c>
      <c r="B5" s="73">
        <v>44194</v>
      </c>
      <c r="C5" s="97">
        <v>0.41666666666666669</v>
      </c>
      <c r="D5">
        <v>27180</v>
      </c>
      <c r="E5">
        <v>27285</v>
      </c>
      <c r="F5">
        <v>27160</v>
      </c>
      <c r="G5">
        <v>27230</v>
      </c>
      <c r="H5">
        <v>72626</v>
      </c>
      <c r="J5" s="49" t="s">
        <v>42</v>
      </c>
      <c r="K5" s="50">
        <v>5</v>
      </c>
      <c r="M5" t="str">
        <f t="array" ref="M5">[2]!FCANDLE($K$2,$K$3,$K$4,$K$5,"高値",E3,$K$6,$K$7)</f>
        <v>FCANDLE($K$2,$K$3,$K$4,$K$5,"高値",E3,$K$6,$K$7)</v>
      </c>
    </row>
    <row r="6" spans="1:13" x14ac:dyDescent="0.2">
      <c r="A6" s="97" t="s">
        <v>119</v>
      </c>
      <c r="B6" s="73">
        <v>44194</v>
      </c>
      <c r="C6" s="97">
        <v>0.375</v>
      </c>
      <c r="D6">
        <v>26905</v>
      </c>
      <c r="E6">
        <v>27205</v>
      </c>
      <c r="F6">
        <v>26900</v>
      </c>
      <c r="G6">
        <v>27185</v>
      </c>
      <c r="H6">
        <v>169346</v>
      </c>
      <c r="J6" s="49" t="s">
        <v>43</v>
      </c>
      <c r="K6" s="50" t="s">
        <v>133</v>
      </c>
      <c r="M6" t="str">
        <f t="array" ref="M6">[2]!FCANDLE($K$2,$K$3,$K$4,$K$5,"安値",F3,$K$6,$K$7)</f>
        <v>FCANDLE($K$2,$K$3,$K$4,$K$5,"安値",F3,$K$6,$K$7)</v>
      </c>
    </row>
    <row r="7" spans="1:13" x14ac:dyDescent="0.2">
      <c r="A7" s="97" t="s">
        <v>119</v>
      </c>
      <c r="B7" s="73">
        <v>44194</v>
      </c>
      <c r="C7" s="97">
        <v>0.33333333333333331</v>
      </c>
      <c r="D7">
        <v>26880</v>
      </c>
      <c r="E7">
        <v>26930</v>
      </c>
      <c r="F7">
        <v>26870</v>
      </c>
      <c r="G7">
        <v>26905</v>
      </c>
      <c r="H7">
        <v>17452</v>
      </c>
      <c r="J7" s="53" t="s">
        <v>44</v>
      </c>
      <c r="K7" s="54">
        <v>1</v>
      </c>
      <c r="M7" t="str">
        <f t="array" ref="M7">[2]!FCANDLE($K$2,$K$3,$K$4,$K$5,"終値",G3,$K$6,$K$7)</f>
        <v>FCANDLE($K$2,$K$3,$K$4,$K$5,"終値",G3,$K$6,$K$7)</v>
      </c>
    </row>
    <row r="8" spans="1:13" x14ac:dyDescent="0.2">
      <c r="A8" s="97" t="s">
        <v>119</v>
      </c>
      <c r="B8" s="73">
        <v>44194</v>
      </c>
      <c r="C8" s="97">
        <v>0.20833333333333334</v>
      </c>
      <c r="D8">
        <v>26905</v>
      </c>
      <c r="E8">
        <v>26910</v>
      </c>
      <c r="F8">
        <v>26880</v>
      </c>
      <c r="G8">
        <v>26880</v>
      </c>
      <c r="H8">
        <v>4648</v>
      </c>
      <c r="M8" t="str">
        <f t="array" ref="M8">[2]!FCANDLE($K$2,$K$3,$K$4,$K$5,"出来高",H3,$K$6,$K$7)</f>
        <v>FCANDLE($K$2,$K$3,$K$4,$K$5,"出来高",H3,$K$6,$K$7)</v>
      </c>
    </row>
    <row r="9" spans="1:13" x14ac:dyDescent="0.2">
      <c r="A9" s="97" t="s">
        <v>119</v>
      </c>
      <c r="B9" s="73">
        <v>44194</v>
      </c>
      <c r="C9" s="97">
        <v>0.16666666666666666</v>
      </c>
      <c r="D9">
        <v>26905</v>
      </c>
      <c r="E9">
        <v>26910</v>
      </c>
      <c r="F9">
        <v>26895</v>
      </c>
      <c r="G9">
        <v>26910</v>
      </c>
      <c r="H9">
        <v>3167</v>
      </c>
    </row>
    <row r="10" spans="1:13" x14ac:dyDescent="0.2">
      <c r="A10" s="97" t="s">
        <v>119</v>
      </c>
      <c r="B10" s="73">
        <v>44194</v>
      </c>
      <c r="C10" s="97">
        <v>0.125</v>
      </c>
      <c r="D10">
        <v>26905</v>
      </c>
      <c r="E10">
        <v>26915</v>
      </c>
      <c r="F10">
        <v>26890</v>
      </c>
      <c r="G10">
        <v>26910</v>
      </c>
      <c r="H10">
        <v>2760</v>
      </c>
    </row>
    <row r="11" spans="1:13" x14ac:dyDescent="0.2">
      <c r="A11" s="97" t="s">
        <v>119</v>
      </c>
      <c r="B11" s="73">
        <v>44194</v>
      </c>
      <c r="C11" s="97">
        <v>8.3333333333333329E-2</v>
      </c>
      <c r="D11">
        <v>26910</v>
      </c>
      <c r="E11">
        <v>26925</v>
      </c>
      <c r="F11">
        <v>26900</v>
      </c>
      <c r="G11">
        <v>26910</v>
      </c>
      <c r="H11">
        <v>3881</v>
      </c>
    </row>
    <row r="12" spans="1:13" x14ac:dyDescent="0.2">
      <c r="A12" s="97" t="s">
        <v>119</v>
      </c>
      <c r="B12" s="73">
        <v>44194</v>
      </c>
      <c r="C12" s="97">
        <v>4.1666666666666664E-2</v>
      </c>
      <c r="D12">
        <v>26895</v>
      </c>
      <c r="E12">
        <v>26930</v>
      </c>
      <c r="F12">
        <v>26890</v>
      </c>
      <c r="G12">
        <v>26910</v>
      </c>
      <c r="H12">
        <v>12946</v>
      </c>
    </row>
    <row r="13" spans="1:13" x14ac:dyDescent="0.2">
      <c r="A13" s="97" t="s">
        <v>119</v>
      </c>
      <c r="B13" s="73">
        <v>44194</v>
      </c>
      <c r="C13" s="97">
        <v>0</v>
      </c>
      <c r="D13">
        <v>26840</v>
      </c>
      <c r="E13">
        <v>26895</v>
      </c>
      <c r="F13">
        <v>26830</v>
      </c>
      <c r="G13">
        <v>26895</v>
      </c>
      <c r="H13">
        <v>14637</v>
      </c>
    </row>
    <row r="14" spans="1:13" x14ac:dyDescent="0.2">
      <c r="A14" s="97" t="s">
        <v>119</v>
      </c>
      <c r="B14" s="73">
        <v>44193</v>
      </c>
      <c r="C14" s="97">
        <v>0.95833333333333337</v>
      </c>
      <c r="D14">
        <v>26830</v>
      </c>
      <c r="E14">
        <v>26845</v>
      </c>
      <c r="F14">
        <v>26810</v>
      </c>
      <c r="G14">
        <v>26835</v>
      </c>
      <c r="H14">
        <v>11531</v>
      </c>
    </row>
    <row r="15" spans="1:13" x14ac:dyDescent="0.2">
      <c r="A15" s="97" t="s">
        <v>119</v>
      </c>
      <c r="B15" s="73">
        <v>44193</v>
      </c>
      <c r="C15" s="97">
        <v>0.91666666666666663</v>
      </c>
      <c r="D15">
        <v>26830</v>
      </c>
      <c r="E15">
        <v>26835</v>
      </c>
      <c r="F15">
        <v>26820</v>
      </c>
      <c r="G15">
        <v>26830</v>
      </c>
      <c r="H15">
        <v>3441</v>
      </c>
    </row>
    <row r="16" spans="1:13" x14ac:dyDescent="0.2">
      <c r="A16" s="97" t="s">
        <v>119</v>
      </c>
      <c r="B16" s="73">
        <v>44193</v>
      </c>
      <c r="C16" s="97">
        <v>0.875</v>
      </c>
      <c r="D16">
        <v>26835</v>
      </c>
      <c r="E16">
        <v>26840</v>
      </c>
      <c r="F16">
        <v>26820</v>
      </c>
      <c r="G16">
        <v>26825</v>
      </c>
      <c r="H16">
        <v>6051</v>
      </c>
    </row>
    <row r="17" spans="1:8" x14ac:dyDescent="0.2">
      <c r="A17" s="97" t="s">
        <v>119</v>
      </c>
      <c r="B17" s="73">
        <v>44193</v>
      </c>
      <c r="C17" s="97">
        <v>0.83333333333333337</v>
      </c>
      <c r="D17">
        <v>26800</v>
      </c>
      <c r="E17">
        <v>26840</v>
      </c>
      <c r="F17">
        <v>26800</v>
      </c>
      <c r="G17">
        <v>26835</v>
      </c>
      <c r="H17">
        <v>9105</v>
      </c>
    </row>
    <row r="18" spans="1:8" x14ac:dyDescent="0.2">
      <c r="A18" s="73" t="s">
        <v>119</v>
      </c>
      <c r="B18" s="73">
        <v>44193</v>
      </c>
      <c r="C18" s="97">
        <v>0.79166666666666663</v>
      </c>
      <c r="D18">
        <v>26800</v>
      </c>
      <c r="E18">
        <v>26810</v>
      </c>
      <c r="F18">
        <v>26790</v>
      </c>
      <c r="G18">
        <v>26800</v>
      </c>
      <c r="H18">
        <v>5080</v>
      </c>
    </row>
    <row r="19" spans="1:8" x14ac:dyDescent="0.2">
      <c r="A19" s="97" t="s">
        <v>119</v>
      </c>
      <c r="B19" s="73">
        <v>44193</v>
      </c>
      <c r="C19" s="97">
        <v>0.75</v>
      </c>
      <c r="D19">
        <v>26800</v>
      </c>
      <c r="E19">
        <v>26805</v>
      </c>
      <c r="F19">
        <v>26785</v>
      </c>
      <c r="G19">
        <v>26795</v>
      </c>
      <c r="H19">
        <v>6907</v>
      </c>
    </row>
    <row r="20" spans="1:8" x14ac:dyDescent="0.2">
      <c r="A20" s="97" t="s">
        <v>119</v>
      </c>
      <c r="B20" s="73">
        <v>44193</v>
      </c>
      <c r="C20" s="97">
        <v>0.70833333333333337</v>
      </c>
      <c r="D20">
        <v>26790</v>
      </c>
      <c r="E20">
        <v>26810</v>
      </c>
      <c r="F20">
        <v>26770</v>
      </c>
      <c r="G20">
        <v>26800</v>
      </c>
      <c r="H20">
        <v>14106</v>
      </c>
    </row>
    <row r="21" spans="1:8" x14ac:dyDescent="0.2">
      <c r="A21" s="97" t="s">
        <v>119</v>
      </c>
      <c r="B21" s="73">
        <v>44193</v>
      </c>
      <c r="C21" s="97">
        <v>0.66666666666666663</v>
      </c>
      <c r="D21">
        <v>26810</v>
      </c>
      <c r="E21">
        <v>26815</v>
      </c>
      <c r="F21">
        <v>26780</v>
      </c>
      <c r="G21">
        <v>26790</v>
      </c>
      <c r="H21">
        <v>6440</v>
      </c>
    </row>
    <row r="22" spans="1:8" x14ac:dyDescent="0.2">
      <c r="A22" s="97" t="s">
        <v>119</v>
      </c>
      <c r="B22" s="73">
        <v>44193</v>
      </c>
      <c r="C22" s="97">
        <v>0.625</v>
      </c>
      <c r="D22">
        <v>26785</v>
      </c>
      <c r="E22">
        <v>26810</v>
      </c>
      <c r="F22">
        <v>26780</v>
      </c>
      <c r="G22">
        <v>26780</v>
      </c>
      <c r="H22">
        <v>20615</v>
      </c>
    </row>
    <row r="23" spans="1:8" x14ac:dyDescent="0.2">
      <c r="A23" s="97" t="s">
        <v>119</v>
      </c>
      <c r="B23" s="73">
        <v>44193</v>
      </c>
      <c r="C23" s="97">
        <v>0.58333333333333337</v>
      </c>
      <c r="D23">
        <v>26740</v>
      </c>
      <c r="E23">
        <v>26790</v>
      </c>
      <c r="F23">
        <v>26735</v>
      </c>
      <c r="G23">
        <v>26785</v>
      </c>
      <c r="H23">
        <v>35165</v>
      </c>
    </row>
    <row r="24" spans="1:8" x14ac:dyDescent="0.2">
      <c r="A24" s="97" t="s">
        <v>119</v>
      </c>
      <c r="B24" s="73">
        <v>44193</v>
      </c>
      <c r="C24" s="97">
        <v>0.54166666666666663</v>
      </c>
      <c r="D24">
        <v>26770</v>
      </c>
      <c r="E24">
        <v>26775</v>
      </c>
      <c r="F24">
        <v>26730</v>
      </c>
      <c r="G24">
        <v>26735</v>
      </c>
      <c r="H24">
        <v>20466</v>
      </c>
    </row>
    <row r="25" spans="1:8" x14ac:dyDescent="0.2">
      <c r="A25" s="97" t="s">
        <v>119</v>
      </c>
      <c r="B25" s="73">
        <v>44193</v>
      </c>
      <c r="C25" s="97">
        <v>0.5</v>
      </c>
      <c r="D25">
        <v>26740</v>
      </c>
      <c r="E25">
        <v>26785</v>
      </c>
      <c r="F25">
        <v>26735</v>
      </c>
      <c r="G25">
        <v>26770</v>
      </c>
      <c r="H25">
        <v>25885</v>
      </c>
    </row>
    <row r="26" spans="1:8" x14ac:dyDescent="0.2">
      <c r="A26" s="97" t="s">
        <v>119</v>
      </c>
      <c r="B26" s="73">
        <v>44193</v>
      </c>
      <c r="C26" s="97">
        <v>0.45833333333333331</v>
      </c>
      <c r="D26">
        <v>26695</v>
      </c>
      <c r="E26">
        <v>26760</v>
      </c>
      <c r="F26">
        <v>26680</v>
      </c>
      <c r="G26">
        <v>26740</v>
      </c>
      <c r="H26">
        <v>30179</v>
      </c>
    </row>
    <row r="27" spans="1:8" x14ac:dyDescent="0.2">
      <c r="A27" s="97" t="s">
        <v>119</v>
      </c>
      <c r="B27" s="73">
        <v>44193</v>
      </c>
      <c r="C27" s="97">
        <v>0.41666666666666669</v>
      </c>
      <c r="D27">
        <v>26685</v>
      </c>
      <c r="E27">
        <v>26700</v>
      </c>
      <c r="F27">
        <v>26640</v>
      </c>
      <c r="G27">
        <v>26700</v>
      </c>
      <c r="H27">
        <v>40690</v>
      </c>
    </row>
    <row r="28" spans="1:8" x14ac:dyDescent="0.2">
      <c r="A28" s="97" t="s">
        <v>119</v>
      </c>
      <c r="B28" s="73">
        <v>44193</v>
      </c>
      <c r="C28" s="97">
        <v>0.375</v>
      </c>
      <c r="D28">
        <v>26650</v>
      </c>
      <c r="E28">
        <v>26715</v>
      </c>
      <c r="F28">
        <v>26600</v>
      </c>
      <c r="G28">
        <v>26690</v>
      </c>
      <c r="H28">
        <v>89187</v>
      </c>
    </row>
    <row r="29" spans="1:8" x14ac:dyDescent="0.2">
      <c r="A29" s="97" t="s">
        <v>119</v>
      </c>
      <c r="B29" s="73">
        <v>44193</v>
      </c>
      <c r="C29" s="97">
        <v>0.33333333333333331</v>
      </c>
      <c r="D29">
        <v>26620</v>
      </c>
      <c r="E29">
        <v>26650</v>
      </c>
      <c r="F29">
        <v>26610</v>
      </c>
      <c r="G29">
        <v>26645</v>
      </c>
      <c r="H29">
        <v>11801</v>
      </c>
    </row>
    <row r="30" spans="1:8" x14ac:dyDescent="0.2">
      <c r="A30" s="97" t="s">
        <v>119</v>
      </c>
      <c r="B30" s="73">
        <v>44191</v>
      </c>
      <c r="C30" s="97">
        <v>0.20833333333333334</v>
      </c>
      <c r="D30">
        <v>26635</v>
      </c>
      <c r="E30">
        <v>26640</v>
      </c>
      <c r="F30">
        <v>26635</v>
      </c>
      <c r="G30">
        <v>26640</v>
      </c>
      <c r="H30">
        <v>1004</v>
      </c>
    </row>
    <row r="31" spans="1:8" x14ac:dyDescent="0.2">
      <c r="A31" s="97" t="s">
        <v>119</v>
      </c>
      <c r="B31" s="73">
        <v>44191</v>
      </c>
      <c r="C31" s="97">
        <v>0.16666666666666666</v>
      </c>
      <c r="D31">
        <v>26635</v>
      </c>
      <c r="E31">
        <v>26640</v>
      </c>
      <c r="F31">
        <v>26635</v>
      </c>
      <c r="G31">
        <v>26635</v>
      </c>
      <c r="H31">
        <v>122</v>
      </c>
    </row>
    <row r="32" spans="1:8" x14ac:dyDescent="0.2">
      <c r="A32" s="97" t="s">
        <v>119</v>
      </c>
      <c r="B32" s="73">
        <v>44191</v>
      </c>
      <c r="C32" s="97">
        <v>0.125</v>
      </c>
      <c r="D32">
        <v>26640</v>
      </c>
      <c r="E32">
        <v>26640</v>
      </c>
      <c r="F32">
        <v>26635</v>
      </c>
      <c r="G32">
        <v>26635</v>
      </c>
      <c r="H32">
        <v>94</v>
      </c>
    </row>
    <row r="33" spans="1:8" x14ac:dyDescent="0.2">
      <c r="A33" s="97" t="s">
        <v>119</v>
      </c>
      <c r="B33" s="73">
        <v>44191</v>
      </c>
      <c r="C33" s="97">
        <v>8.3333333333333329E-2</v>
      </c>
      <c r="D33">
        <v>26635</v>
      </c>
      <c r="E33">
        <v>26640</v>
      </c>
      <c r="F33">
        <v>26635</v>
      </c>
      <c r="G33">
        <v>26635</v>
      </c>
      <c r="H33">
        <v>147</v>
      </c>
    </row>
    <row r="34" spans="1:8" x14ac:dyDescent="0.2">
      <c r="A34" s="97" t="s">
        <v>119</v>
      </c>
      <c r="B34" s="73">
        <v>44191</v>
      </c>
      <c r="C34" s="97">
        <v>4.1666666666666664E-2</v>
      </c>
      <c r="D34">
        <v>26640</v>
      </c>
      <c r="E34">
        <v>26640</v>
      </c>
      <c r="F34">
        <v>26635</v>
      </c>
      <c r="G34">
        <v>26635</v>
      </c>
      <c r="H34">
        <v>110</v>
      </c>
    </row>
    <row r="35" spans="1:8" x14ac:dyDescent="0.2">
      <c r="A35" s="97" t="s">
        <v>119</v>
      </c>
      <c r="B35" s="73">
        <v>44191</v>
      </c>
      <c r="C35" s="97">
        <v>0</v>
      </c>
      <c r="D35">
        <v>26635</v>
      </c>
      <c r="E35">
        <v>26640</v>
      </c>
      <c r="F35">
        <v>26635</v>
      </c>
      <c r="G35">
        <v>26635</v>
      </c>
      <c r="H35">
        <v>166</v>
      </c>
    </row>
    <row r="36" spans="1:8" x14ac:dyDescent="0.2">
      <c r="A36" s="97" t="s">
        <v>119</v>
      </c>
      <c r="B36" s="73">
        <v>44190</v>
      </c>
      <c r="C36" s="97">
        <v>0.95833333333333337</v>
      </c>
      <c r="D36">
        <v>26635</v>
      </c>
      <c r="E36">
        <v>26640</v>
      </c>
      <c r="F36">
        <v>26635</v>
      </c>
      <c r="G36">
        <v>26635</v>
      </c>
      <c r="H36">
        <v>166</v>
      </c>
    </row>
    <row r="37" spans="1:8" x14ac:dyDescent="0.2">
      <c r="A37" s="97" t="s">
        <v>119</v>
      </c>
      <c r="B37" s="73">
        <v>44190</v>
      </c>
      <c r="C37" s="97">
        <v>0.91666666666666663</v>
      </c>
      <c r="D37">
        <v>26635</v>
      </c>
      <c r="E37">
        <v>26640</v>
      </c>
      <c r="F37">
        <v>26635</v>
      </c>
      <c r="G37">
        <v>26635</v>
      </c>
      <c r="H37">
        <v>118</v>
      </c>
    </row>
    <row r="38" spans="1:8" x14ac:dyDescent="0.2">
      <c r="A38" s="97" t="s">
        <v>119</v>
      </c>
      <c r="B38" s="73">
        <v>44190</v>
      </c>
      <c r="C38" s="97">
        <v>0.875</v>
      </c>
      <c r="D38">
        <v>26635</v>
      </c>
      <c r="E38">
        <v>26640</v>
      </c>
      <c r="F38">
        <v>26630</v>
      </c>
      <c r="G38">
        <v>26635</v>
      </c>
      <c r="H38">
        <v>781</v>
      </c>
    </row>
    <row r="39" spans="1:8" x14ac:dyDescent="0.2">
      <c r="A39" s="97" t="s">
        <v>119</v>
      </c>
      <c r="B39" s="73">
        <v>44190</v>
      </c>
      <c r="C39" s="97">
        <v>0.83333333333333337</v>
      </c>
      <c r="D39">
        <v>26635</v>
      </c>
      <c r="E39">
        <v>26640</v>
      </c>
      <c r="F39">
        <v>26635</v>
      </c>
      <c r="G39">
        <v>26635</v>
      </c>
      <c r="H39">
        <v>189</v>
      </c>
    </row>
    <row r="40" spans="1:8" x14ac:dyDescent="0.2">
      <c r="A40" s="73" t="s">
        <v>119</v>
      </c>
      <c r="B40" s="73">
        <v>44190</v>
      </c>
      <c r="C40" s="97">
        <v>0.79166666666666663</v>
      </c>
      <c r="D40">
        <v>26640</v>
      </c>
      <c r="E40">
        <v>26640</v>
      </c>
      <c r="F40">
        <v>26635</v>
      </c>
      <c r="G40">
        <v>26635</v>
      </c>
      <c r="H40">
        <v>204</v>
      </c>
    </row>
    <row r="41" spans="1:8" x14ac:dyDescent="0.2">
      <c r="A41" s="97" t="s">
        <v>119</v>
      </c>
      <c r="B41" s="73">
        <v>44190</v>
      </c>
      <c r="C41" s="97">
        <v>0.75</v>
      </c>
      <c r="D41">
        <v>26635</v>
      </c>
      <c r="E41">
        <v>26640</v>
      </c>
      <c r="F41">
        <v>26630</v>
      </c>
      <c r="G41">
        <v>26640</v>
      </c>
      <c r="H41">
        <v>970</v>
      </c>
    </row>
    <row r="42" spans="1:8" x14ac:dyDescent="0.2">
      <c r="A42" s="97" t="s">
        <v>119</v>
      </c>
      <c r="B42" s="73">
        <v>44190</v>
      </c>
      <c r="C42" s="97">
        <v>0.70833333333333337</v>
      </c>
      <c r="D42">
        <v>26630</v>
      </c>
      <c r="E42">
        <v>26635</v>
      </c>
      <c r="F42">
        <v>26625</v>
      </c>
      <c r="G42">
        <v>26635</v>
      </c>
      <c r="H42">
        <v>598</v>
      </c>
    </row>
    <row r="43" spans="1:8" x14ac:dyDescent="0.2">
      <c r="A43" s="97" t="s">
        <v>119</v>
      </c>
      <c r="B43" s="73">
        <v>44190</v>
      </c>
      <c r="C43" s="97">
        <v>0.66666666666666663</v>
      </c>
      <c r="D43">
        <v>26640</v>
      </c>
      <c r="E43">
        <v>26640</v>
      </c>
      <c r="F43">
        <v>26625</v>
      </c>
      <c r="G43">
        <v>26630</v>
      </c>
      <c r="H43">
        <v>3426</v>
      </c>
    </row>
    <row r="44" spans="1:8" x14ac:dyDescent="0.2">
      <c r="A44" s="97" t="s">
        <v>119</v>
      </c>
      <c r="B44" s="73">
        <v>44190</v>
      </c>
      <c r="C44" s="97">
        <v>0.625</v>
      </c>
      <c r="D44">
        <v>26620</v>
      </c>
      <c r="E44">
        <v>26650</v>
      </c>
      <c r="F44">
        <v>26605</v>
      </c>
      <c r="G44">
        <v>26650</v>
      </c>
      <c r="H44">
        <v>10851</v>
      </c>
    </row>
    <row r="45" spans="1:8" x14ac:dyDescent="0.2">
      <c r="A45" s="97" t="s">
        <v>119</v>
      </c>
      <c r="B45" s="73">
        <v>44190</v>
      </c>
      <c r="C45" s="97">
        <v>0.58333333333333337</v>
      </c>
      <c r="D45">
        <v>26610</v>
      </c>
      <c r="E45">
        <v>26630</v>
      </c>
      <c r="F45">
        <v>26605</v>
      </c>
      <c r="G45">
        <v>26620</v>
      </c>
      <c r="H45">
        <v>18946</v>
      </c>
    </row>
    <row r="46" spans="1:8" x14ac:dyDescent="0.2">
      <c r="A46" s="97" t="s">
        <v>119</v>
      </c>
      <c r="B46" s="73">
        <v>44190</v>
      </c>
      <c r="C46" s="97">
        <v>0.54166666666666663</v>
      </c>
      <c r="D46">
        <v>26605</v>
      </c>
      <c r="E46">
        <v>26615</v>
      </c>
      <c r="F46">
        <v>26595</v>
      </c>
      <c r="G46">
        <v>26605</v>
      </c>
      <c r="H46">
        <v>7536</v>
      </c>
    </row>
    <row r="47" spans="1:8" x14ac:dyDescent="0.2">
      <c r="A47" s="97" t="s">
        <v>119</v>
      </c>
      <c r="B47" s="73">
        <v>44190</v>
      </c>
      <c r="C47" s="97">
        <v>0.5</v>
      </c>
      <c r="D47">
        <v>26600</v>
      </c>
      <c r="E47">
        <v>26615</v>
      </c>
      <c r="F47">
        <v>26600</v>
      </c>
      <c r="G47">
        <v>26610</v>
      </c>
      <c r="H47">
        <v>6863</v>
      </c>
    </row>
    <row r="48" spans="1:8" x14ac:dyDescent="0.2">
      <c r="A48" s="97" t="s">
        <v>119</v>
      </c>
      <c r="B48" s="73">
        <v>44190</v>
      </c>
      <c r="C48" s="97">
        <v>0.45833333333333331</v>
      </c>
      <c r="D48">
        <v>26615</v>
      </c>
      <c r="E48">
        <v>26625</v>
      </c>
      <c r="F48">
        <v>26600</v>
      </c>
      <c r="G48">
        <v>26600</v>
      </c>
      <c r="H48">
        <v>9548</v>
      </c>
    </row>
    <row r="49" spans="1:8" x14ac:dyDescent="0.2">
      <c r="A49" s="97" t="s">
        <v>119</v>
      </c>
      <c r="B49" s="73">
        <v>44190</v>
      </c>
      <c r="C49" s="97">
        <v>0.41666666666666669</v>
      </c>
      <c r="D49">
        <v>26620</v>
      </c>
      <c r="E49">
        <v>26625</v>
      </c>
      <c r="F49">
        <v>26595</v>
      </c>
      <c r="G49">
        <v>26610</v>
      </c>
      <c r="H49">
        <v>11379</v>
      </c>
    </row>
    <row r="50" spans="1:8" x14ac:dyDescent="0.2">
      <c r="A50" s="97" t="s">
        <v>119</v>
      </c>
      <c r="B50" s="73">
        <v>44190</v>
      </c>
      <c r="C50" s="97">
        <v>0.375</v>
      </c>
      <c r="D50">
        <v>26615</v>
      </c>
      <c r="E50">
        <v>26645</v>
      </c>
      <c r="F50">
        <v>26585</v>
      </c>
      <c r="G50">
        <v>26615</v>
      </c>
      <c r="H50">
        <v>32188</v>
      </c>
    </row>
    <row r="51" spans="1:8" x14ac:dyDescent="0.2">
      <c r="A51" s="97" t="s">
        <v>119</v>
      </c>
      <c r="B51" s="73">
        <v>44190</v>
      </c>
      <c r="C51" s="97">
        <v>0.33333333333333331</v>
      </c>
      <c r="D51">
        <v>26620</v>
      </c>
      <c r="E51">
        <v>26630</v>
      </c>
      <c r="F51">
        <v>26610</v>
      </c>
      <c r="G51">
        <v>26615</v>
      </c>
      <c r="H51">
        <v>7136</v>
      </c>
    </row>
    <row r="52" spans="1:8" x14ac:dyDescent="0.2">
      <c r="A52" s="97" t="s">
        <v>119</v>
      </c>
      <c r="B52" s="73">
        <v>44190</v>
      </c>
      <c r="C52" s="97">
        <v>0.20833333333333334</v>
      </c>
      <c r="D52">
        <v>26620</v>
      </c>
      <c r="E52">
        <v>26620</v>
      </c>
      <c r="F52">
        <v>26600</v>
      </c>
      <c r="G52">
        <v>26600</v>
      </c>
      <c r="H52">
        <v>1735</v>
      </c>
    </row>
    <row r="53" spans="1:8" x14ac:dyDescent="0.2">
      <c r="A53" s="97" t="s">
        <v>119</v>
      </c>
      <c r="B53" s="73">
        <v>44190</v>
      </c>
      <c r="C53" s="97">
        <v>0.16666666666666666</v>
      </c>
      <c r="D53">
        <v>26605</v>
      </c>
      <c r="E53">
        <v>26620</v>
      </c>
      <c r="F53">
        <v>26605</v>
      </c>
      <c r="G53">
        <v>26620</v>
      </c>
      <c r="H53">
        <v>380</v>
      </c>
    </row>
    <row r="54" spans="1:8" x14ac:dyDescent="0.2">
      <c r="A54" s="97" t="s">
        <v>119</v>
      </c>
      <c r="B54" s="73">
        <v>44190</v>
      </c>
      <c r="C54" s="97">
        <v>0.125</v>
      </c>
      <c r="D54">
        <v>26600</v>
      </c>
      <c r="E54">
        <v>26610</v>
      </c>
      <c r="F54">
        <v>26600</v>
      </c>
      <c r="G54">
        <v>26605</v>
      </c>
      <c r="H54">
        <v>2076</v>
      </c>
    </row>
    <row r="55" spans="1:8" x14ac:dyDescent="0.2">
      <c r="A55" s="97" t="s">
        <v>119</v>
      </c>
      <c r="B55" s="73">
        <v>44190</v>
      </c>
      <c r="C55" s="97">
        <v>8.3333333333333329E-2</v>
      </c>
      <c r="D55">
        <v>26625</v>
      </c>
      <c r="E55">
        <v>26625</v>
      </c>
      <c r="F55">
        <v>26585</v>
      </c>
      <c r="G55">
        <v>26600</v>
      </c>
      <c r="H55">
        <v>5470</v>
      </c>
    </row>
    <row r="56" spans="1:8" x14ac:dyDescent="0.2">
      <c r="A56" s="97" t="s">
        <v>119</v>
      </c>
      <c r="B56" s="73">
        <v>44190</v>
      </c>
      <c r="C56" s="97">
        <v>4.1666666666666664E-2</v>
      </c>
      <c r="D56">
        <v>26625</v>
      </c>
      <c r="E56">
        <v>26635</v>
      </c>
      <c r="F56">
        <v>26620</v>
      </c>
      <c r="G56">
        <v>26625</v>
      </c>
      <c r="H56">
        <v>3177</v>
      </c>
    </row>
    <row r="57" spans="1:8" x14ac:dyDescent="0.2">
      <c r="A57" s="97" t="s">
        <v>119</v>
      </c>
      <c r="B57" s="73">
        <v>44190</v>
      </c>
      <c r="C57" s="97">
        <v>0</v>
      </c>
      <c r="D57">
        <v>26640</v>
      </c>
      <c r="E57">
        <v>26650</v>
      </c>
      <c r="F57">
        <v>26625</v>
      </c>
      <c r="G57">
        <v>26625</v>
      </c>
      <c r="H57">
        <v>4269</v>
      </c>
    </row>
    <row r="58" spans="1:8" x14ac:dyDescent="0.2">
      <c r="A58" s="97" t="s">
        <v>119</v>
      </c>
      <c r="B58" s="73">
        <v>44189</v>
      </c>
      <c r="C58" s="97">
        <v>0.95833333333333337</v>
      </c>
      <c r="D58">
        <v>26635</v>
      </c>
      <c r="E58">
        <v>26640</v>
      </c>
      <c r="F58">
        <v>26630</v>
      </c>
      <c r="G58">
        <v>26635</v>
      </c>
      <c r="H58">
        <v>5018</v>
      </c>
    </row>
    <row r="59" spans="1:8" x14ac:dyDescent="0.2">
      <c r="A59" s="97" t="s">
        <v>119</v>
      </c>
      <c r="B59" s="73">
        <v>44189</v>
      </c>
      <c r="C59" s="97">
        <v>0.91666666666666663</v>
      </c>
      <c r="D59">
        <v>26625</v>
      </c>
      <c r="E59">
        <v>26635</v>
      </c>
      <c r="F59">
        <v>26620</v>
      </c>
      <c r="G59">
        <v>26635</v>
      </c>
      <c r="H59">
        <v>1897</v>
      </c>
    </row>
    <row r="60" spans="1:8" x14ac:dyDescent="0.2">
      <c r="A60" s="97" t="s">
        <v>119</v>
      </c>
      <c r="B60" s="73">
        <v>44189</v>
      </c>
      <c r="C60" s="97">
        <v>0.875</v>
      </c>
      <c r="D60">
        <v>26630</v>
      </c>
      <c r="E60">
        <v>26640</v>
      </c>
      <c r="F60">
        <v>26620</v>
      </c>
      <c r="G60">
        <v>26625</v>
      </c>
      <c r="H60">
        <v>3060</v>
      </c>
    </row>
    <row r="61" spans="1:8" x14ac:dyDescent="0.2">
      <c r="A61" s="97" t="s">
        <v>119</v>
      </c>
      <c r="B61" s="73">
        <v>44189</v>
      </c>
      <c r="C61" s="97">
        <v>0.83333333333333337</v>
      </c>
      <c r="D61">
        <v>26630</v>
      </c>
      <c r="E61">
        <v>26635</v>
      </c>
      <c r="F61">
        <v>26625</v>
      </c>
      <c r="G61">
        <v>26630</v>
      </c>
      <c r="H61">
        <v>2291</v>
      </c>
    </row>
    <row r="62" spans="1:8" x14ac:dyDescent="0.2">
      <c r="A62" s="73" t="s">
        <v>119</v>
      </c>
      <c r="B62" s="73">
        <v>44189</v>
      </c>
      <c r="C62" s="97">
        <v>0.79166666666666663</v>
      </c>
      <c r="D62">
        <v>26630</v>
      </c>
      <c r="E62">
        <v>26640</v>
      </c>
      <c r="F62">
        <v>26620</v>
      </c>
      <c r="G62">
        <v>26625</v>
      </c>
      <c r="H62">
        <v>4243</v>
      </c>
    </row>
    <row r="63" spans="1:8" x14ac:dyDescent="0.2">
      <c r="A63" s="97" t="s">
        <v>119</v>
      </c>
      <c r="B63" s="73">
        <v>44189</v>
      </c>
      <c r="C63" s="97">
        <v>0.75</v>
      </c>
      <c r="D63">
        <v>26625</v>
      </c>
      <c r="E63">
        <v>26645</v>
      </c>
      <c r="F63">
        <v>26620</v>
      </c>
      <c r="G63">
        <v>26635</v>
      </c>
      <c r="H63">
        <v>4763</v>
      </c>
    </row>
    <row r="64" spans="1:8" x14ac:dyDescent="0.2">
      <c r="A64" s="97" t="s">
        <v>119</v>
      </c>
      <c r="B64" s="73">
        <v>44189</v>
      </c>
      <c r="C64" s="97">
        <v>0.70833333333333337</v>
      </c>
      <c r="D64">
        <v>26625</v>
      </c>
      <c r="E64">
        <v>26650</v>
      </c>
      <c r="F64">
        <v>26620</v>
      </c>
      <c r="G64">
        <v>26625</v>
      </c>
      <c r="H64">
        <v>7604</v>
      </c>
    </row>
    <row r="65" spans="1:8" x14ac:dyDescent="0.2">
      <c r="A65" s="97" t="s">
        <v>119</v>
      </c>
      <c r="B65" s="73">
        <v>44189</v>
      </c>
      <c r="C65" s="97">
        <v>0.66666666666666663</v>
      </c>
      <c r="D65">
        <v>26645</v>
      </c>
      <c r="E65">
        <v>26650</v>
      </c>
      <c r="F65">
        <v>26615</v>
      </c>
      <c r="G65">
        <v>26625</v>
      </c>
      <c r="H65">
        <v>9690</v>
      </c>
    </row>
    <row r="66" spans="1:8" x14ac:dyDescent="0.2">
      <c r="A66" s="97" t="s">
        <v>119</v>
      </c>
      <c r="B66" s="73">
        <v>44189</v>
      </c>
      <c r="C66" s="97">
        <v>0.625</v>
      </c>
      <c r="D66">
        <v>26595</v>
      </c>
      <c r="E66">
        <v>26650</v>
      </c>
      <c r="F66">
        <v>26590</v>
      </c>
      <c r="G66">
        <v>26650</v>
      </c>
      <c r="H66">
        <v>16271</v>
      </c>
    </row>
    <row r="67" spans="1:8" x14ac:dyDescent="0.2">
      <c r="A67" s="97" t="s">
        <v>119</v>
      </c>
      <c r="B67" s="73">
        <v>44189</v>
      </c>
      <c r="C67" s="97">
        <v>0.58333333333333337</v>
      </c>
      <c r="D67">
        <v>26575</v>
      </c>
      <c r="E67">
        <v>26605</v>
      </c>
      <c r="F67">
        <v>26560</v>
      </c>
      <c r="G67">
        <v>26595</v>
      </c>
      <c r="H67">
        <v>28552</v>
      </c>
    </row>
    <row r="68" spans="1:8" x14ac:dyDescent="0.2">
      <c r="A68" s="97" t="s">
        <v>119</v>
      </c>
      <c r="B68" s="73">
        <v>44189</v>
      </c>
      <c r="C68" s="97">
        <v>0.54166666666666663</v>
      </c>
      <c r="D68">
        <v>26580</v>
      </c>
      <c r="E68">
        <v>26590</v>
      </c>
      <c r="F68">
        <v>26565</v>
      </c>
      <c r="G68">
        <v>26570</v>
      </c>
      <c r="H68">
        <v>16782</v>
      </c>
    </row>
    <row r="69" spans="1:8" x14ac:dyDescent="0.2">
      <c r="A69" s="97" t="s">
        <v>119</v>
      </c>
      <c r="B69" s="73">
        <v>44189</v>
      </c>
      <c r="C69" s="97">
        <v>0.5</v>
      </c>
      <c r="D69">
        <v>26615</v>
      </c>
      <c r="E69">
        <v>26625</v>
      </c>
      <c r="F69">
        <v>26560</v>
      </c>
      <c r="G69">
        <v>26575</v>
      </c>
      <c r="H69">
        <v>28901</v>
      </c>
    </row>
    <row r="70" spans="1:8" x14ac:dyDescent="0.2">
      <c r="A70" s="97" t="s">
        <v>119</v>
      </c>
      <c r="B70" s="73">
        <v>44189</v>
      </c>
      <c r="C70" s="97">
        <v>0.45833333333333331</v>
      </c>
      <c r="D70">
        <v>26610</v>
      </c>
      <c r="E70">
        <v>26630</v>
      </c>
      <c r="F70">
        <v>26590</v>
      </c>
      <c r="G70">
        <v>26615</v>
      </c>
      <c r="H70">
        <v>23955</v>
      </c>
    </row>
    <row r="71" spans="1:8" x14ac:dyDescent="0.2">
      <c r="A71" s="97" t="s">
        <v>119</v>
      </c>
      <c r="B71" s="73">
        <v>44189</v>
      </c>
      <c r="C71" s="97">
        <v>0.41666666666666669</v>
      </c>
      <c r="D71">
        <v>26605</v>
      </c>
      <c r="E71">
        <v>26635</v>
      </c>
      <c r="F71">
        <v>26535</v>
      </c>
      <c r="G71">
        <v>26610</v>
      </c>
      <c r="H71">
        <v>56424</v>
      </c>
    </row>
    <row r="72" spans="1:8" x14ac:dyDescent="0.2">
      <c r="A72" s="97" t="s">
        <v>119</v>
      </c>
      <c r="B72" s="73">
        <v>44189</v>
      </c>
      <c r="C72" s="97">
        <v>0.375</v>
      </c>
      <c r="D72">
        <v>26605</v>
      </c>
      <c r="E72">
        <v>26695</v>
      </c>
      <c r="F72">
        <v>26585</v>
      </c>
      <c r="G72">
        <v>26605</v>
      </c>
      <c r="H72">
        <v>110633</v>
      </c>
    </row>
    <row r="73" spans="1:8" x14ac:dyDescent="0.2">
      <c r="A73" s="97" t="s">
        <v>119</v>
      </c>
      <c r="B73" s="73">
        <v>44189</v>
      </c>
      <c r="C73" s="97">
        <v>0.33333333333333331</v>
      </c>
      <c r="D73">
        <v>26605</v>
      </c>
      <c r="E73">
        <v>26630</v>
      </c>
      <c r="F73">
        <v>26600</v>
      </c>
      <c r="G73">
        <v>26610</v>
      </c>
      <c r="H73">
        <v>14165</v>
      </c>
    </row>
    <row r="74" spans="1:8" x14ac:dyDescent="0.2">
      <c r="A74" s="97" t="s">
        <v>119</v>
      </c>
      <c r="B74" s="73">
        <v>44189</v>
      </c>
      <c r="C74" s="97">
        <v>0.20833333333333334</v>
      </c>
      <c r="D74">
        <v>26645</v>
      </c>
      <c r="E74">
        <v>26665</v>
      </c>
      <c r="F74">
        <v>26645</v>
      </c>
      <c r="G74">
        <v>26645</v>
      </c>
      <c r="H74">
        <v>5275</v>
      </c>
    </row>
    <row r="75" spans="1:8" x14ac:dyDescent="0.2">
      <c r="A75" s="97" t="s">
        <v>119</v>
      </c>
      <c r="B75" s="73">
        <v>44189</v>
      </c>
      <c r="C75" s="97">
        <v>0.16666666666666666</v>
      </c>
      <c r="D75">
        <v>26685</v>
      </c>
      <c r="E75">
        <v>26685</v>
      </c>
      <c r="F75">
        <v>26645</v>
      </c>
      <c r="G75">
        <v>26645</v>
      </c>
      <c r="H75">
        <v>6273</v>
      </c>
    </row>
    <row r="76" spans="1:8" x14ac:dyDescent="0.2">
      <c r="A76" s="97" t="s">
        <v>119</v>
      </c>
      <c r="B76" s="73">
        <v>44189</v>
      </c>
      <c r="C76" s="97">
        <v>0.125</v>
      </c>
      <c r="D76">
        <v>26665</v>
      </c>
      <c r="E76">
        <v>26695</v>
      </c>
      <c r="F76">
        <v>26650</v>
      </c>
      <c r="G76">
        <v>26680</v>
      </c>
      <c r="H76">
        <v>6996</v>
      </c>
    </row>
    <row r="77" spans="1:8" x14ac:dyDescent="0.2">
      <c r="A77" s="97" t="s">
        <v>119</v>
      </c>
      <c r="B77" s="73">
        <v>44189</v>
      </c>
      <c r="C77" s="97">
        <v>8.3333333333333329E-2</v>
      </c>
      <c r="D77">
        <v>26670</v>
      </c>
      <c r="E77">
        <v>26680</v>
      </c>
      <c r="F77">
        <v>26660</v>
      </c>
      <c r="G77">
        <v>26670</v>
      </c>
      <c r="H77">
        <v>5058</v>
      </c>
    </row>
    <row r="78" spans="1:8" x14ac:dyDescent="0.2">
      <c r="A78" s="97" t="s">
        <v>119</v>
      </c>
      <c r="B78" s="73">
        <v>44189</v>
      </c>
      <c r="C78" s="97">
        <v>4.1666666666666664E-2</v>
      </c>
      <c r="D78">
        <v>26645</v>
      </c>
      <c r="E78">
        <v>26670</v>
      </c>
      <c r="F78">
        <v>26635</v>
      </c>
      <c r="G78">
        <v>26670</v>
      </c>
      <c r="H78">
        <v>13733</v>
      </c>
    </row>
    <row r="79" spans="1:8" x14ac:dyDescent="0.2">
      <c r="A79" s="97" t="s">
        <v>119</v>
      </c>
      <c r="B79" s="73">
        <v>44189</v>
      </c>
      <c r="C79" s="97">
        <v>0</v>
      </c>
      <c r="D79">
        <v>26620</v>
      </c>
      <c r="E79">
        <v>26650</v>
      </c>
      <c r="F79">
        <v>26590</v>
      </c>
      <c r="G79">
        <v>26645</v>
      </c>
      <c r="H79">
        <v>23175</v>
      </c>
    </row>
    <row r="80" spans="1:8" x14ac:dyDescent="0.2">
      <c r="A80" s="97" t="s">
        <v>119</v>
      </c>
      <c r="B80" s="73">
        <v>44188</v>
      </c>
      <c r="C80" s="97">
        <v>0.95833333333333337</v>
      </c>
      <c r="D80">
        <v>26580</v>
      </c>
      <c r="E80">
        <v>26630</v>
      </c>
      <c r="F80">
        <v>26570</v>
      </c>
      <c r="G80">
        <v>26625</v>
      </c>
      <c r="H80">
        <v>28329</v>
      </c>
    </row>
    <row r="81" spans="1:8" x14ac:dyDescent="0.2">
      <c r="A81" s="97" t="s">
        <v>119</v>
      </c>
      <c r="B81" s="73">
        <v>44188</v>
      </c>
      <c r="C81" s="97">
        <v>0.91666666666666663</v>
      </c>
      <c r="D81">
        <v>26540</v>
      </c>
      <c r="E81">
        <v>26580</v>
      </c>
      <c r="F81">
        <v>26535</v>
      </c>
      <c r="G81">
        <v>26580</v>
      </c>
      <c r="H81">
        <v>10212</v>
      </c>
    </row>
    <row r="82" spans="1:8" x14ac:dyDescent="0.2">
      <c r="A82" s="97" t="s">
        <v>119</v>
      </c>
      <c r="B82" s="73">
        <v>44188</v>
      </c>
      <c r="C82" s="97">
        <v>0.875</v>
      </c>
      <c r="D82">
        <v>26535</v>
      </c>
      <c r="E82">
        <v>26540</v>
      </c>
      <c r="F82">
        <v>26515</v>
      </c>
      <c r="G82">
        <v>26540</v>
      </c>
      <c r="H82">
        <v>6324</v>
      </c>
    </row>
    <row r="83" spans="1:8" x14ac:dyDescent="0.2">
      <c r="A83" s="97" t="s">
        <v>119</v>
      </c>
      <c r="B83" s="73">
        <v>44188</v>
      </c>
      <c r="C83" s="97">
        <v>0.83333333333333337</v>
      </c>
      <c r="D83">
        <v>26550</v>
      </c>
      <c r="E83">
        <v>26555</v>
      </c>
      <c r="F83">
        <v>26525</v>
      </c>
      <c r="G83">
        <v>26535</v>
      </c>
      <c r="H83">
        <v>5616</v>
      </c>
    </row>
    <row r="84" spans="1:8" x14ac:dyDescent="0.2">
      <c r="A84" s="73" t="s">
        <v>119</v>
      </c>
      <c r="B84" s="73">
        <v>44188</v>
      </c>
      <c r="C84" s="97">
        <v>0.79166666666666663</v>
      </c>
      <c r="D84">
        <v>26545</v>
      </c>
      <c r="E84">
        <v>26560</v>
      </c>
      <c r="F84">
        <v>26540</v>
      </c>
      <c r="G84">
        <v>26550</v>
      </c>
      <c r="H84">
        <v>7137</v>
      </c>
    </row>
    <row r="85" spans="1:8" x14ac:dyDescent="0.2">
      <c r="A85" s="97" t="s">
        <v>119</v>
      </c>
      <c r="B85" s="73">
        <v>44188</v>
      </c>
      <c r="C85" s="97">
        <v>0.75</v>
      </c>
      <c r="D85">
        <v>26555</v>
      </c>
      <c r="E85">
        <v>26560</v>
      </c>
      <c r="F85">
        <v>26525</v>
      </c>
      <c r="G85">
        <v>26545</v>
      </c>
      <c r="H85">
        <v>10291</v>
      </c>
    </row>
    <row r="86" spans="1:8" x14ac:dyDescent="0.2">
      <c r="A86" s="97" t="s">
        <v>119</v>
      </c>
      <c r="B86" s="73">
        <v>44188</v>
      </c>
      <c r="C86" s="97">
        <v>0.70833333333333337</v>
      </c>
      <c r="D86">
        <v>26535</v>
      </c>
      <c r="E86">
        <v>26570</v>
      </c>
      <c r="F86">
        <v>26520</v>
      </c>
      <c r="G86">
        <v>26555</v>
      </c>
      <c r="H86">
        <v>27131</v>
      </c>
    </row>
    <row r="87" spans="1:8" x14ac:dyDescent="0.2">
      <c r="A87" s="97" t="s">
        <v>119</v>
      </c>
      <c r="B87" s="73">
        <v>44188</v>
      </c>
      <c r="C87" s="97">
        <v>0.66666666666666663</v>
      </c>
      <c r="D87">
        <v>26525</v>
      </c>
      <c r="E87">
        <v>26545</v>
      </c>
      <c r="F87">
        <v>26495</v>
      </c>
      <c r="G87">
        <v>26535</v>
      </c>
      <c r="H87">
        <v>13115</v>
      </c>
    </row>
    <row r="88" spans="1:8" x14ac:dyDescent="0.2">
      <c r="A88" s="97" t="s">
        <v>119</v>
      </c>
      <c r="B88" s="73">
        <v>44188</v>
      </c>
      <c r="C88" s="97">
        <v>0.625</v>
      </c>
      <c r="D88">
        <v>26455</v>
      </c>
      <c r="E88">
        <v>26485</v>
      </c>
      <c r="F88">
        <v>26445</v>
      </c>
      <c r="G88">
        <v>26480</v>
      </c>
      <c r="H88">
        <v>19075</v>
      </c>
    </row>
    <row r="89" spans="1:8" x14ac:dyDescent="0.2">
      <c r="A89" s="97" t="s">
        <v>119</v>
      </c>
      <c r="B89" s="73">
        <v>44188</v>
      </c>
      <c r="C89" s="97">
        <v>0.58333333333333337</v>
      </c>
      <c r="D89">
        <v>26460</v>
      </c>
      <c r="E89">
        <v>26480</v>
      </c>
      <c r="F89">
        <v>26435</v>
      </c>
      <c r="G89">
        <v>26455</v>
      </c>
      <c r="H89">
        <v>35947</v>
      </c>
    </row>
    <row r="90" spans="1:8" x14ac:dyDescent="0.2">
      <c r="A90" s="97" t="s">
        <v>119</v>
      </c>
      <c r="B90" s="73">
        <v>44188</v>
      </c>
      <c r="C90" s="97">
        <v>0.54166666666666663</v>
      </c>
      <c r="D90">
        <v>26460</v>
      </c>
      <c r="E90">
        <v>26505</v>
      </c>
      <c r="F90">
        <v>26450</v>
      </c>
      <c r="G90">
        <v>26460</v>
      </c>
      <c r="H90">
        <v>34264</v>
      </c>
    </row>
    <row r="91" spans="1:8" x14ac:dyDescent="0.2">
      <c r="A91" s="97" t="s">
        <v>119</v>
      </c>
      <c r="B91" s="73">
        <v>44188</v>
      </c>
      <c r="C91" s="97">
        <v>0.5</v>
      </c>
      <c r="D91">
        <v>26425</v>
      </c>
      <c r="E91">
        <v>26460</v>
      </c>
      <c r="F91">
        <v>26410</v>
      </c>
      <c r="G91">
        <v>26455</v>
      </c>
      <c r="H91">
        <v>23974</v>
      </c>
    </row>
    <row r="92" spans="1:8" x14ac:dyDescent="0.2">
      <c r="A92" s="97" t="s">
        <v>119</v>
      </c>
      <c r="B92" s="73">
        <v>44188</v>
      </c>
      <c r="C92" s="97">
        <v>0.45833333333333331</v>
      </c>
      <c r="D92">
        <v>26435</v>
      </c>
      <c r="E92">
        <v>26445</v>
      </c>
      <c r="F92">
        <v>26395</v>
      </c>
      <c r="G92">
        <v>26425</v>
      </c>
      <c r="H92">
        <v>33277</v>
      </c>
    </row>
    <row r="93" spans="1:8" x14ac:dyDescent="0.2">
      <c r="A93" s="97" t="s">
        <v>119</v>
      </c>
      <c r="B93" s="73">
        <v>44188</v>
      </c>
      <c r="C93" s="97">
        <v>0.41666666666666669</v>
      </c>
      <c r="D93">
        <v>26385</v>
      </c>
      <c r="E93">
        <v>26465</v>
      </c>
      <c r="F93">
        <v>26355</v>
      </c>
      <c r="G93">
        <v>26435</v>
      </c>
      <c r="H93">
        <v>82295</v>
      </c>
    </row>
    <row r="94" spans="1:8" x14ac:dyDescent="0.2">
      <c r="A94" s="97" t="s">
        <v>119</v>
      </c>
      <c r="B94" s="73">
        <v>44188</v>
      </c>
      <c r="C94" s="97">
        <v>0.375</v>
      </c>
      <c r="D94">
        <v>26520</v>
      </c>
      <c r="E94">
        <v>26530</v>
      </c>
      <c r="F94">
        <v>26365</v>
      </c>
      <c r="G94">
        <v>26385</v>
      </c>
      <c r="H94">
        <v>117438</v>
      </c>
    </row>
    <row r="95" spans="1:8" x14ac:dyDescent="0.2">
      <c r="A95" s="97" t="s">
        <v>119</v>
      </c>
      <c r="B95" s="73">
        <v>44188</v>
      </c>
      <c r="C95" s="97">
        <v>0.33333333333333331</v>
      </c>
      <c r="D95">
        <v>26570</v>
      </c>
      <c r="E95">
        <v>26575</v>
      </c>
      <c r="F95">
        <v>26505</v>
      </c>
      <c r="G95">
        <v>26520</v>
      </c>
      <c r="H95">
        <v>18620</v>
      </c>
    </row>
    <row r="96" spans="1:8" x14ac:dyDescent="0.2">
      <c r="A96" s="97" t="s">
        <v>119</v>
      </c>
      <c r="B96" s="73">
        <v>44188</v>
      </c>
      <c r="C96" s="97">
        <v>0</v>
      </c>
      <c r="D96">
        <v>26435</v>
      </c>
      <c r="E96">
        <v>26525</v>
      </c>
      <c r="F96">
        <v>26415</v>
      </c>
      <c r="G96">
        <v>26510</v>
      </c>
      <c r="H96">
        <v>28955</v>
      </c>
    </row>
    <row r="97" spans="1:8" x14ac:dyDescent="0.2">
      <c r="A97" s="97" t="s">
        <v>119</v>
      </c>
      <c r="B97" s="73">
        <v>44187</v>
      </c>
      <c r="C97" s="97">
        <v>0.95833333333333337</v>
      </c>
      <c r="D97">
        <v>26480</v>
      </c>
      <c r="E97">
        <v>26485</v>
      </c>
      <c r="F97">
        <v>26425</v>
      </c>
      <c r="G97">
        <v>26440</v>
      </c>
      <c r="H97">
        <v>19298</v>
      </c>
    </row>
    <row r="98" spans="1:8" x14ac:dyDescent="0.2">
      <c r="A98" s="97" t="s">
        <v>119</v>
      </c>
      <c r="B98" s="73">
        <v>44187</v>
      </c>
      <c r="C98" s="97">
        <v>0.91666666666666663</v>
      </c>
      <c r="D98">
        <v>26470</v>
      </c>
      <c r="E98">
        <v>26500</v>
      </c>
      <c r="F98">
        <v>26465</v>
      </c>
      <c r="G98">
        <v>26485</v>
      </c>
      <c r="H98">
        <v>7874</v>
      </c>
    </row>
    <row r="99" spans="1:8" x14ac:dyDescent="0.2">
      <c r="A99" s="97" t="s">
        <v>119</v>
      </c>
      <c r="B99" s="73">
        <v>44187</v>
      </c>
      <c r="C99" s="97">
        <v>0.875</v>
      </c>
      <c r="D99">
        <v>26470</v>
      </c>
      <c r="E99">
        <v>26495</v>
      </c>
      <c r="F99">
        <v>26465</v>
      </c>
      <c r="G99">
        <v>26470</v>
      </c>
      <c r="H99">
        <v>9131</v>
      </c>
    </row>
    <row r="100" spans="1:8" x14ac:dyDescent="0.2">
      <c r="A100" s="97" t="s">
        <v>119</v>
      </c>
      <c r="B100" s="73">
        <v>44187</v>
      </c>
      <c r="C100" s="97">
        <v>0.83333333333333337</v>
      </c>
      <c r="D100">
        <v>26455</v>
      </c>
      <c r="E100">
        <v>26490</v>
      </c>
      <c r="F100">
        <v>26445</v>
      </c>
      <c r="G100">
        <v>26470</v>
      </c>
      <c r="H100">
        <v>11295</v>
      </c>
    </row>
    <row r="101" spans="1:8" x14ac:dyDescent="0.2">
      <c r="A101" t="s">
        <v>119</v>
      </c>
      <c r="B101" s="73">
        <v>44187</v>
      </c>
      <c r="C101" s="97">
        <v>0.79166666666666663</v>
      </c>
      <c r="D101">
        <v>26425</v>
      </c>
      <c r="E101">
        <v>26465</v>
      </c>
      <c r="F101">
        <v>26405</v>
      </c>
      <c r="G101">
        <v>26450</v>
      </c>
      <c r="H101">
        <v>15830</v>
      </c>
    </row>
    <row r="102" spans="1:8" x14ac:dyDescent="0.2">
      <c r="A102" t="s">
        <v>119</v>
      </c>
      <c r="B102" s="73">
        <v>44187</v>
      </c>
      <c r="C102" s="97">
        <v>0.75</v>
      </c>
      <c r="D102">
        <v>26475</v>
      </c>
      <c r="E102">
        <v>26490</v>
      </c>
      <c r="F102">
        <v>26425</v>
      </c>
      <c r="G102">
        <v>26425</v>
      </c>
      <c r="H102">
        <v>21568</v>
      </c>
    </row>
    <row r="103" spans="1:8" x14ac:dyDescent="0.2">
      <c r="A103" t="s">
        <v>119</v>
      </c>
      <c r="B103" s="73">
        <v>44187</v>
      </c>
      <c r="C103" s="97">
        <v>0.70833333333333337</v>
      </c>
      <c r="D103">
        <v>26395</v>
      </c>
      <c r="E103">
        <v>26490</v>
      </c>
      <c r="F103">
        <v>26370</v>
      </c>
      <c r="G103">
        <v>26470</v>
      </c>
      <c r="H103">
        <v>33140</v>
      </c>
    </row>
    <row r="104" spans="1:8" x14ac:dyDescent="0.2">
      <c r="A104" t="s">
        <v>119</v>
      </c>
      <c r="B104" s="73">
        <v>44187</v>
      </c>
      <c r="C104" s="97">
        <v>0.66666666666666663</v>
      </c>
      <c r="D104">
        <v>26370</v>
      </c>
      <c r="E104">
        <v>26435</v>
      </c>
      <c r="F104">
        <v>26365</v>
      </c>
      <c r="G104">
        <v>26390</v>
      </c>
      <c r="H104">
        <v>21209</v>
      </c>
    </row>
    <row r="105" spans="1:8" x14ac:dyDescent="0.2">
      <c r="A105" t="s">
        <v>119</v>
      </c>
      <c r="B105" s="73">
        <v>44187</v>
      </c>
      <c r="C105" s="97">
        <v>0.625</v>
      </c>
      <c r="D105">
        <v>26345</v>
      </c>
      <c r="E105">
        <v>26370</v>
      </c>
      <c r="F105">
        <v>26330</v>
      </c>
      <c r="G105">
        <v>26345</v>
      </c>
      <c r="H105">
        <v>28606</v>
      </c>
    </row>
    <row r="106" spans="1:8" x14ac:dyDescent="0.2">
      <c r="A106" t="s">
        <v>119</v>
      </c>
      <c r="B106" s="73">
        <v>44187</v>
      </c>
      <c r="C106" s="97">
        <v>0.58333333333333337</v>
      </c>
      <c r="D106">
        <v>26440</v>
      </c>
      <c r="E106">
        <v>26455</v>
      </c>
      <c r="F106">
        <v>26305</v>
      </c>
      <c r="G106">
        <v>26345</v>
      </c>
      <c r="H106">
        <v>107050</v>
      </c>
    </row>
    <row r="107" spans="1:8" x14ac:dyDescent="0.2">
      <c r="A107" t="s">
        <v>119</v>
      </c>
      <c r="B107" s="73">
        <v>44187</v>
      </c>
      <c r="C107" s="97">
        <v>0.54166666666666663</v>
      </c>
      <c r="D107">
        <v>26515</v>
      </c>
      <c r="E107">
        <v>26525</v>
      </c>
      <c r="F107">
        <v>26435</v>
      </c>
      <c r="G107">
        <v>26445</v>
      </c>
      <c r="H107">
        <v>49830</v>
      </c>
    </row>
    <row r="108" spans="1:8" x14ac:dyDescent="0.2">
      <c r="A108" t="s">
        <v>119</v>
      </c>
      <c r="B108" s="73">
        <v>44187</v>
      </c>
      <c r="C108" s="97">
        <v>0.5</v>
      </c>
      <c r="D108">
        <v>26560</v>
      </c>
      <c r="E108">
        <v>26565</v>
      </c>
      <c r="F108">
        <v>26500</v>
      </c>
      <c r="G108">
        <v>26515</v>
      </c>
      <c r="H108">
        <v>32037</v>
      </c>
    </row>
    <row r="109" spans="1:8" x14ac:dyDescent="0.2">
      <c r="A109" t="s">
        <v>119</v>
      </c>
      <c r="B109" s="73">
        <v>44187</v>
      </c>
      <c r="C109" s="97">
        <v>0.45833333333333331</v>
      </c>
      <c r="D109">
        <v>26545</v>
      </c>
      <c r="E109">
        <v>26590</v>
      </c>
      <c r="F109">
        <v>26520</v>
      </c>
      <c r="G109">
        <v>26560</v>
      </c>
      <c r="H109">
        <v>39807</v>
      </c>
    </row>
    <row r="110" spans="1:8" x14ac:dyDescent="0.2">
      <c r="A110" t="s">
        <v>119</v>
      </c>
      <c r="B110" s="73">
        <v>44187</v>
      </c>
      <c r="C110" s="97">
        <v>0.41666666666666669</v>
      </c>
      <c r="D110">
        <v>26415</v>
      </c>
      <c r="E110">
        <v>26570</v>
      </c>
      <c r="F110">
        <v>26405</v>
      </c>
      <c r="G110">
        <v>26550</v>
      </c>
      <c r="H110">
        <v>67652</v>
      </c>
    </row>
    <row r="111" spans="1:8" x14ac:dyDescent="0.2">
      <c r="A111" t="s">
        <v>119</v>
      </c>
      <c r="B111" s="73">
        <v>44187</v>
      </c>
      <c r="C111" s="97">
        <v>0.375</v>
      </c>
      <c r="D111">
        <v>26515</v>
      </c>
      <c r="E111">
        <v>26585</v>
      </c>
      <c r="F111">
        <v>26390</v>
      </c>
      <c r="G111">
        <v>26415</v>
      </c>
      <c r="H111">
        <v>106822</v>
      </c>
    </row>
    <row r="112" spans="1:8" x14ac:dyDescent="0.2">
      <c r="A112" t="s">
        <v>119</v>
      </c>
      <c r="B112" s="73">
        <v>44187</v>
      </c>
      <c r="C112" s="97">
        <v>0.33333333333333331</v>
      </c>
      <c r="D112">
        <v>26450</v>
      </c>
      <c r="E112">
        <v>26520</v>
      </c>
      <c r="F112">
        <v>26450</v>
      </c>
      <c r="G112">
        <v>26515</v>
      </c>
      <c r="H112">
        <v>24142</v>
      </c>
    </row>
  </sheetData>
  <mergeCells count="2">
    <mergeCell ref="J1:K1"/>
    <mergeCell ref="A1:H1"/>
  </mergeCells>
  <phoneticPr fontId="2"/>
  <dataValidations count="4">
    <dataValidation type="list" allowBlank="1" showInputMessage="1" showErrorMessage="1" prompt="1：1分足_x000a_5：5分足_x000a_15：15分足_x000a_30：30分足_x000a_60：時足_x000a_B：日足（営業日ﾍﾞｰｽ）_x000a_T：日足（取引日ﾍﾞｰｽ）" sqref="K4" xr:uid="{00000000-0002-0000-0200-000000000000}">
      <formula1>"1,5,15,30,60,B,T"</formula1>
    </dataValidation>
    <dataValidation allowBlank="1" showInputMessage="1" showErrorMessage="1" prompt="分足：_x000a_1～5（日数）を指定_x000a_日足：_x000a_1～36（月数）を指定_x000a_本数指定：0" sqref="K5" xr:uid="{00000000-0002-0000-0200-000001000000}"/>
    <dataValidation type="list" allowBlank="1" showInputMessage="1" showErrorMessage="1" prompt="D：降順_x000a_A：昇順" sqref="K6" xr:uid="{00000000-0002-0000-0200-000002000000}">
      <formula1>"D,A"</formula1>
    </dataValidation>
    <dataValidation allowBlank="1" showInputMessage="1" showErrorMessage="1" prompt="足取得期間を0にした上で指定する" sqref="K7" xr:uid="{00000000-0002-0000-0200-000003000000}"/>
  </dataValidations>
  <pageMargins left="0.75" right="0.75" top="1" bottom="1" header="0.51200000000000001" footer="0.51200000000000001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52"/>
  <sheetViews>
    <sheetView workbookViewId="0">
      <selection activeCell="K26" sqref="K26"/>
    </sheetView>
  </sheetViews>
  <sheetFormatPr defaultRowHeight="13.2" x14ac:dyDescent="0.2"/>
  <cols>
    <col min="10" max="10" width="4" customWidth="1"/>
    <col min="13" max="13" width="3.88671875" style="71" customWidth="1"/>
  </cols>
  <sheetData>
    <row r="1" spans="1:14" x14ac:dyDescent="0.2">
      <c r="A1" s="170" t="s">
        <v>73</v>
      </c>
      <c r="B1" s="171"/>
      <c r="C1" s="171"/>
      <c r="D1" s="171"/>
      <c r="E1" s="171"/>
      <c r="F1" s="171"/>
      <c r="G1" s="171"/>
      <c r="H1" s="171"/>
      <c r="I1" s="172"/>
      <c r="K1" s="168" t="s">
        <v>34</v>
      </c>
      <c r="L1" s="169"/>
      <c r="M1" s="64"/>
      <c r="N1" t="e">
        <f ca="1">[1]!FTICK($L$2,$L$3,$L$4,"現在値時刻",A3)</f>
        <v>#NAME?</v>
      </c>
    </row>
    <row r="2" spans="1:14" x14ac:dyDescent="0.2">
      <c r="A2" s="66" t="s">
        <v>74</v>
      </c>
      <c r="B2" s="62" t="s">
        <v>1</v>
      </c>
      <c r="C2" s="62" t="s">
        <v>75</v>
      </c>
      <c r="D2" s="62" t="s">
        <v>20</v>
      </c>
      <c r="E2" s="62" t="s">
        <v>76</v>
      </c>
      <c r="F2" s="62" t="s">
        <v>77</v>
      </c>
      <c r="G2" s="67" t="s">
        <v>78</v>
      </c>
      <c r="H2" s="62" t="s">
        <v>79</v>
      </c>
      <c r="I2" s="63" t="s">
        <v>80</v>
      </c>
      <c r="K2" s="68" t="s">
        <v>39</v>
      </c>
      <c r="L2" s="69" t="s">
        <v>120</v>
      </c>
      <c r="M2" s="70"/>
      <c r="N2" t="e">
        <f ca="1">[1]!FTICK($L$2,$L$3,$L$4,"現在値",B3)</f>
        <v>#NAME?</v>
      </c>
    </row>
    <row r="3" spans="1:14" x14ac:dyDescent="0.2">
      <c r="A3" s="51" t="s">
        <v>127</v>
      </c>
      <c r="B3">
        <v>22320</v>
      </c>
      <c r="C3">
        <v>5</v>
      </c>
      <c r="D3">
        <v>4</v>
      </c>
      <c r="E3">
        <v>1009649</v>
      </c>
      <c r="F3">
        <v>22320</v>
      </c>
      <c r="G3" s="65">
        <v>0.49890000000000001</v>
      </c>
      <c r="H3">
        <v>22315</v>
      </c>
      <c r="I3">
        <v>22227.260172999999</v>
      </c>
      <c r="K3" s="49" t="s">
        <v>40</v>
      </c>
      <c r="L3" s="50">
        <v>0</v>
      </c>
      <c r="M3" s="70"/>
      <c r="N3" t="e">
        <f ca="1">[1]!FTICK($L$2,$L$3,$L$4,"前回比",C3)</f>
        <v>#NAME?</v>
      </c>
    </row>
    <row r="4" spans="1:14" x14ac:dyDescent="0.2">
      <c r="A4" s="51" t="s">
        <v>127</v>
      </c>
      <c r="B4">
        <v>22315</v>
      </c>
      <c r="C4">
        <v>0</v>
      </c>
      <c r="D4">
        <v>5</v>
      </c>
      <c r="E4">
        <v>1009645</v>
      </c>
      <c r="F4">
        <v>22320</v>
      </c>
      <c r="G4" s="65">
        <v>0.49890000000000001</v>
      </c>
      <c r="H4">
        <v>22315</v>
      </c>
      <c r="I4">
        <v>22227.259805000002</v>
      </c>
      <c r="K4" s="53" t="s">
        <v>44</v>
      </c>
      <c r="L4" s="54">
        <v>50</v>
      </c>
      <c r="M4" s="70"/>
      <c r="N4" t="e">
        <f ca="1">[1]!FTICK($L$2,$L$3,$L$4,"約定数量",D3)</f>
        <v>#NAME?</v>
      </c>
    </row>
    <row r="5" spans="1:14" x14ac:dyDescent="0.2">
      <c r="A5" s="51" t="s">
        <v>127</v>
      </c>
      <c r="B5">
        <v>22315</v>
      </c>
      <c r="C5">
        <v>0</v>
      </c>
      <c r="D5">
        <v>9</v>
      </c>
      <c r="E5">
        <v>1009640</v>
      </c>
      <c r="F5">
        <v>22320</v>
      </c>
      <c r="G5" s="65">
        <v>0.49890000000000001</v>
      </c>
      <c r="H5">
        <v>22315</v>
      </c>
      <c r="I5">
        <v>22227.259371</v>
      </c>
      <c r="N5" t="e">
        <f ca="1">[1]!FTICK($L$2,$L$3,$L$4,"出来高",E3)</f>
        <v>#NAME?</v>
      </c>
    </row>
    <row r="6" spans="1:14" x14ac:dyDescent="0.2">
      <c r="A6" s="51" t="s">
        <v>127</v>
      </c>
      <c r="B6">
        <v>22315</v>
      </c>
      <c r="C6">
        <v>0</v>
      </c>
      <c r="D6">
        <v>6</v>
      </c>
      <c r="E6">
        <v>1009631</v>
      </c>
      <c r="F6">
        <v>22320</v>
      </c>
      <c r="G6" s="65">
        <v>0.49890000000000001</v>
      </c>
      <c r="H6">
        <v>22315</v>
      </c>
      <c r="I6">
        <v>22227.258589000001</v>
      </c>
      <c r="N6" t="e">
        <f ca="1">[1]!FTICK($L$2,$L$3,$L$4,"売気配値",F3)</f>
        <v>#NAME?</v>
      </c>
    </row>
    <row r="7" spans="1:14" x14ac:dyDescent="0.2">
      <c r="A7" s="51" t="s">
        <v>127</v>
      </c>
      <c r="B7">
        <v>22315</v>
      </c>
      <c r="C7">
        <v>0</v>
      </c>
      <c r="D7">
        <v>8</v>
      </c>
      <c r="E7">
        <v>1009625</v>
      </c>
      <c r="F7">
        <v>22320</v>
      </c>
      <c r="G7" s="65">
        <v>0.49890000000000001</v>
      </c>
      <c r="H7">
        <v>22315</v>
      </c>
      <c r="I7">
        <v>22227.258066999999</v>
      </c>
      <c r="N7" t="e">
        <f ca="1">[1]!FTICK($L$2,$L$3,$L$4,"買付強度",G3)</f>
        <v>#NAME?</v>
      </c>
    </row>
    <row r="8" spans="1:14" x14ac:dyDescent="0.2">
      <c r="A8" s="51" t="s">
        <v>127</v>
      </c>
      <c r="B8">
        <v>22315</v>
      </c>
      <c r="C8">
        <v>0</v>
      </c>
      <c r="D8">
        <v>62</v>
      </c>
      <c r="E8">
        <v>1009617</v>
      </c>
      <c r="F8">
        <v>22320</v>
      </c>
      <c r="G8" s="65">
        <v>0.49890000000000001</v>
      </c>
      <c r="H8">
        <v>22315</v>
      </c>
      <c r="I8">
        <v>22227.257372</v>
      </c>
      <c r="N8" t="e">
        <f ca="1">[1]!FTICK($L$2,$L$3,$L$4,"買気配値",H3)</f>
        <v>#NAME?</v>
      </c>
    </row>
    <row r="9" spans="1:14" x14ac:dyDescent="0.2">
      <c r="A9" s="51" t="s">
        <v>127</v>
      </c>
      <c r="B9">
        <v>22315</v>
      </c>
      <c r="C9">
        <v>0</v>
      </c>
      <c r="D9">
        <v>5</v>
      </c>
      <c r="E9">
        <v>1009555</v>
      </c>
      <c r="F9">
        <v>22320</v>
      </c>
      <c r="G9" s="65">
        <v>0.499</v>
      </c>
      <c r="H9">
        <v>22315</v>
      </c>
      <c r="I9">
        <v>22227.251982999998</v>
      </c>
      <c r="N9" t="e">
        <f ca="1">[1]!FTICK($L$2,$L$3,$L$4,"VWAP",I3)</f>
        <v>#NAME?</v>
      </c>
    </row>
    <row r="10" spans="1:14" x14ac:dyDescent="0.2">
      <c r="A10" s="51" t="s">
        <v>127</v>
      </c>
      <c r="B10">
        <v>22315</v>
      </c>
      <c r="C10">
        <v>0</v>
      </c>
      <c r="D10">
        <v>34</v>
      </c>
      <c r="E10">
        <v>1009550</v>
      </c>
      <c r="F10">
        <v>22320</v>
      </c>
      <c r="G10" s="65">
        <v>0.499</v>
      </c>
      <c r="H10">
        <v>22315</v>
      </c>
      <c r="I10">
        <v>22227.251549000001</v>
      </c>
    </row>
    <row r="11" spans="1:14" x14ac:dyDescent="0.2">
      <c r="A11" s="51" t="s">
        <v>127</v>
      </c>
      <c r="B11">
        <v>22315</v>
      </c>
      <c r="C11">
        <v>0</v>
      </c>
      <c r="D11">
        <v>41</v>
      </c>
      <c r="E11">
        <v>1009516</v>
      </c>
      <c r="F11">
        <v>22320</v>
      </c>
      <c r="G11" s="65">
        <v>0.499</v>
      </c>
      <c r="H11">
        <v>22315</v>
      </c>
      <c r="I11">
        <v>22227.248593</v>
      </c>
    </row>
    <row r="12" spans="1:14" x14ac:dyDescent="0.2">
      <c r="A12" s="51" t="s">
        <v>127</v>
      </c>
      <c r="B12">
        <v>22315</v>
      </c>
      <c r="C12">
        <v>0</v>
      </c>
      <c r="D12">
        <v>2</v>
      </c>
      <c r="E12">
        <v>1009475</v>
      </c>
      <c r="F12">
        <v>22320</v>
      </c>
      <c r="G12" s="65">
        <v>0.499</v>
      </c>
      <c r="H12">
        <v>22315</v>
      </c>
      <c r="I12">
        <v>22227.245029000002</v>
      </c>
    </row>
    <row r="13" spans="1:14" x14ac:dyDescent="0.2">
      <c r="A13" s="51" t="s">
        <v>127</v>
      </c>
      <c r="B13">
        <v>22315</v>
      </c>
      <c r="C13">
        <v>-5</v>
      </c>
      <c r="D13">
        <v>5</v>
      </c>
      <c r="E13">
        <v>1009473</v>
      </c>
      <c r="F13">
        <v>22320</v>
      </c>
      <c r="G13" s="65">
        <v>0.499</v>
      </c>
      <c r="H13">
        <v>22315</v>
      </c>
      <c r="I13">
        <v>22227.244855000001</v>
      </c>
    </row>
    <row r="14" spans="1:14" x14ac:dyDescent="0.2">
      <c r="A14" s="51" t="s">
        <v>127</v>
      </c>
      <c r="B14">
        <v>22320</v>
      </c>
      <c r="C14">
        <v>0</v>
      </c>
      <c r="D14">
        <v>6</v>
      </c>
      <c r="E14">
        <v>1009468</v>
      </c>
      <c r="F14">
        <v>22320</v>
      </c>
      <c r="G14" s="65">
        <v>0.499</v>
      </c>
      <c r="H14">
        <v>22315</v>
      </c>
      <c r="I14">
        <v>22227.244420999999</v>
      </c>
    </row>
    <row r="15" spans="1:14" x14ac:dyDescent="0.2">
      <c r="A15" s="51" t="s">
        <v>127</v>
      </c>
      <c r="B15">
        <v>22320</v>
      </c>
      <c r="C15">
        <v>5</v>
      </c>
      <c r="D15">
        <v>1</v>
      </c>
      <c r="E15">
        <v>1009462</v>
      </c>
      <c r="F15">
        <v>22320</v>
      </c>
      <c r="G15" s="65">
        <v>0.499</v>
      </c>
      <c r="H15">
        <v>22315</v>
      </c>
      <c r="I15">
        <v>22227.243869999998</v>
      </c>
    </row>
    <row r="16" spans="1:14" x14ac:dyDescent="0.2">
      <c r="A16" s="51" t="s">
        <v>128</v>
      </c>
      <c r="B16">
        <v>22315</v>
      </c>
      <c r="C16">
        <v>0</v>
      </c>
      <c r="D16">
        <v>1</v>
      </c>
      <c r="E16">
        <v>1009461</v>
      </c>
      <c r="F16">
        <v>22320</v>
      </c>
      <c r="G16" s="65">
        <v>0.499</v>
      </c>
      <c r="H16">
        <v>22315</v>
      </c>
      <c r="I16">
        <v>22227.243778</v>
      </c>
    </row>
    <row r="17" spans="1:9" x14ac:dyDescent="0.2">
      <c r="A17" s="51" t="s">
        <v>128</v>
      </c>
      <c r="B17">
        <v>22315</v>
      </c>
      <c r="C17">
        <v>-5</v>
      </c>
      <c r="D17">
        <v>1</v>
      </c>
      <c r="E17">
        <v>1009460</v>
      </c>
      <c r="F17">
        <v>22320</v>
      </c>
      <c r="G17" s="65">
        <v>0.499</v>
      </c>
      <c r="H17">
        <v>22315</v>
      </c>
      <c r="I17">
        <v>22227.243691</v>
      </c>
    </row>
    <row r="18" spans="1:9" x14ac:dyDescent="0.2">
      <c r="A18" s="51" t="s">
        <v>128</v>
      </c>
      <c r="B18">
        <v>22320</v>
      </c>
      <c r="C18">
        <v>0</v>
      </c>
      <c r="D18">
        <v>8</v>
      </c>
      <c r="E18">
        <v>1009459</v>
      </c>
      <c r="F18">
        <v>22320</v>
      </c>
      <c r="G18" s="65">
        <v>0.499</v>
      </c>
      <c r="H18">
        <v>22315</v>
      </c>
      <c r="I18">
        <v>22227.243603999999</v>
      </c>
    </row>
    <row r="19" spans="1:9" x14ac:dyDescent="0.2">
      <c r="A19" s="51" t="s">
        <v>129</v>
      </c>
      <c r="B19">
        <v>22320</v>
      </c>
      <c r="C19">
        <v>5</v>
      </c>
      <c r="D19">
        <v>1</v>
      </c>
      <c r="E19">
        <v>1009451</v>
      </c>
      <c r="F19">
        <v>22320</v>
      </c>
      <c r="G19" s="65">
        <v>0.499</v>
      </c>
      <c r="H19">
        <v>22315</v>
      </c>
      <c r="I19">
        <v>22227.242869000002</v>
      </c>
    </row>
    <row r="20" spans="1:9" x14ac:dyDescent="0.2">
      <c r="A20" s="51" t="s">
        <v>129</v>
      </c>
      <c r="B20">
        <v>22315</v>
      </c>
      <c r="C20">
        <v>-5</v>
      </c>
      <c r="D20">
        <v>1</v>
      </c>
      <c r="E20">
        <v>1009450</v>
      </c>
      <c r="F20">
        <v>22320</v>
      </c>
      <c r="G20" s="65">
        <v>0.499</v>
      </c>
      <c r="H20">
        <v>22315</v>
      </c>
      <c r="I20">
        <v>22227.242776999999</v>
      </c>
    </row>
    <row r="21" spans="1:9" x14ac:dyDescent="0.2">
      <c r="A21" s="51" t="s">
        <v>129</v>
      </c>
      <c r="B21">
        <v>22320</v>
      </c>
      <c r="C21">
        <v>0</v>
      </c>
      <c r="D21">
        <v>1</v>
      </c>
      <c r="E21">
        <v>1009449</v>
      </c>
      <c r="F21">
        <v>22320</v>
      </c>
      <c r="G21" s="65">
        <v>0.499</v>
      </c>
      <c r="H21">
        <v>22315</v>
      </c>
      <c r="I21">
        <v>22227.242689999999</v>
      </c>
    </row>
    <row r="22" spans="1:9" x14ac:dyDescent="0.2">
      <c r="A22" s="51" t="s">
        <v>129</v>
      </c>
      <c r="B22">
        <v>22320</v>
      </c>
      <c r="C22">
        <v>0</v>
      </c>
      <c r="D22">
        <v>1</v>
      </c>
      <c r="E22">
        <v>1009448</v>
      </c>
      <c r="F22">
        <v>22320</v>
      </c>
      <c r="G22" s="65">
        <v>0.499</v>
      </c>
      <c r="H22">
        <v>22315</v>
      </c>
      <c r="I22">
        <v>22227.242598000001</v>
      </c>
    </row>
    <row r="23" spans="1:9" x14ac:dyDescent="0.2">
      <c r="A23" s="51" t="s">
        <v>130</v>
      </c>
      <c r="B23">
        <v>22320</v>
      </c>
      <c r="C23">
        <v>5</v>
      </c>
      <c r="D23">
        <v>70</v>
      </c>
      <c r="E23">
        <v>1009447</v>
      </c>
      <c r="F23">
        <v>22320</v>
      </c>
      <c r="G23" s="65">
        <v>0.499</v>
      </c>
      <c r="H23">
        <v>22315</v>
      </c>
      <c r="I23">
        <v>22227.242505999999</v>
      </c>
    </row>
    <row r="24" spans="1:9" x14ac:dyDescent="0.2">
      <c r="A24" s="51" t="s">
        <v>130</v>
      </c>
      <c r="B24">
        <v>22315</v>
      </c>
      <c r="C24">
        <v>0</v>
      </c>
      <c r="D24">
        <v>1</v>
      </c>
      <c r="E24">
        <v>1009377</v>
      </c>
      <c r="F24">
        <v>22320</v>
      </c>
      <c r="G24" s="65">
        <v>0.499</v>
      </c>
      <c r="H24">
        <v>22315</v>
      </c>
      <c r="I24">
        <v>22227.236073</v>
      </c>
    </row>
    <row r="25" spans="1:9" x14ac:dyDescent="0.2">
      <c r="A25" s="51" t="s">
        <v>130</v>
      </c>
      <c r="B25">
        <v>22315</v>
      </c>
      <c r="C25">
        <v>0</v>
      </c>
      <c r="D25">
        <v>1</v>
      </c>
      <c r="E25">
        <v>1009376</v>
      </c>
      <c r="F25">
        <v>22320</v>
      </c>
      <c r="G25" s="65">
        <v>0.499</v>
      </c>
      <c r="H25">
        <v>22315</v>
      </c>
      <c r="I25">
        <v>22227.235986</v>
      </c>
    </row>
    <row r="26" spans="1:9" x14ac:dyDescent="0.2">
      <c r="A26" s="51" t="s">
        <v>130</v>
      </c>
      <c r="B26">
        <v>22315</v>
      </c>
      <c r="C26">
        <v>-5</v>
      </c>
      <c r="D26">
        <v>1</v>
      </c>
      <c r="E26">
        <v>1009375</v>
      </c>
      <c r="F26">
        <v>22320</v>
      </c>
      <c r="G26" s="65">
        <v>0.499</v>
      </c>
      <c r="H26">
        <v>22315</v>
      </c>
      <c r="I26">
        <v>22227.235898999999</v>
      </c>
    </row>
    <row r="27" spans="1:9" x14ac:dyDescent="0.2">
      <c r="A27" s="51" t="s">
        <v>130</v>
      </c>
      <c r="B27">
        <v>22320</v>
      </c>
      <c r="C27">
        <v>0</v>
      </c>
      <c r="D27">
        <v>1</v>
      </c>
      <c r="E27">
        <v>1009374</v>
      </c>
      <c r="F27">
        <v>22320</v>
      </c>
      <c r="G27" s="65">
        <v>0.499</v>
      </c>
      <c r="H27">
        <v>22315</v>
      </c>
      <c r="I27">
        <v>22227.235811999999</v>
      </c>
    </row>
    <row r="28" spans="1:9" x14ac:dyDescent="0.2">
      <c r="A28" s="51" t="s">
        <v>131</v>
      </c>
      <c r="B28">
        <v>22320</v>
      </c>
      <c r="C28">
        <v>0</v>
      </c>
      <c r="D28">
        <v>1</v>
      </c>
      <c r="E28">
        <v>1009373</v>
      </c>
      <c r="F28">
        <v>22320</v>
      </c>
      <c r="G28" s="65">
        <v>0.499</v>
      </c>
      <c r="H28">
        <v>22315</v>
      </c>
      <c r="I28">
        <v>22227.235721000001</v>
      </c>
    </row>
    <row r="29" spans="1:9" x14ac:dyDescent="0.2">
      <c r="A29" s="51" t="s">
        <v>131</v>
      </c>
      <c r="B29">
        <v>22320</v>
      </c>
      <c r="C29">
        <v>5</v>
      </c>
      <c r="D29">
        <v>1</v>
      </c>
      <c r="E29">
        <v>1009372</v>
      </c>
      <c r="F29">
        <v>22320</v>
      </c>
      <c r="G29" s="65">
        <v>0.499</v>
      </c>
      <c r="H29">
        <v>22315</v>
      </c>
      <c r="I29">
        <v>22227.235628999999</v>
      </c>
    </row>
    <row r="30" spans="1:9" x14ac:dyDescent="0.2">
      <c r="A30" s="51" t="s">
        <v>131</v>
      </c>
      <c r="B30">
        <v>22315</v>
      </c>
      <c r="C30">
        <v>0</v>
      </c>
      <c r="D30">
        <v>2</v>
      </c>
      <c r="E30">
        <v>1009371</v>
      </c>
      <c r="F30">
        <v>22320</v>
      </c>
      <c r="G30" s="65">
        <v>0.499</v>
      </c>
      <c r="H30">
        <v>22315</v>
      </c>
      <c r="I30">
        <v>22227.235537</v>
      </c>
    </row>
    <row r="31" spans="1:9" x14ac:dyDescent="0.2">
      <c r="A31" s="51" t="s">
        <v>132</v>
      </c>
      <c r="B31">
        <v>22315</v>
      </c>
      <c r="C31">
        <v>0</v>
      </c>
      <c r="D31">
        <v>2</v>
      </c>
      <c r="E31">
        <v>1009369</v>
      </c>
      <c r="F31">
        <v>22315</v>
      </c>
      <c r="G31" s="65">
        <v>0.499</v>
      </c>
      <c r="H31">
        <v>22310</v>
      </c>
      <c r="I31">
        <v>22227.235363</v>
      </c>
    </row>
    <row r="32" spans="1:9" x14ac:dyDescent="0.2">
      <c r="A32" s="51" t="s">
        <v>132</v>
      </c>
      <c r="B32">
        <v>22315</v>
      </c>
      <c r="C32">
        <v>0</v>
      </c>
      <c r="D32">
        <v>34</v>
      </c>
      <c r="E32">
        <v>1009367</v>
      </c>
      <c r="F32">
        <v>22315</v>
      </c>
      <c r="G32" s="65">
        <v>0.499</v>
      </c>
      <c r="H32">
        <v>22310</v>
      </c>
      <c r="I32">
        <v>22227.235188999999</v>
      </c>
    </row>
    <row r="33" spans="1:9" x14ac:dyDescent="0.2">
      <c r="A33" s="51" t="s">
        <v>125</v>
      </c>
      <c r="B33">
        <v>22315</v>
      </c>
      <c r="C33">
        <v>5</v>
      </c>
      <c r="D33">
        <v>1</v>
      </c>
      <c r="E33">
        <v>1009333</v>
      </c>
      <c r="F33">
        <v>22315</v>
      </c>
      <c r="G33" s="65">
        <v>0.49890000000000001</v>
      </c>
      <c r="H33">
        <v>22310</v>
      </c>
      <c r="I33">
        <v>22227.232232999999</v>
      </c>
    </row>
    <row r="34" spans="1:9" x14ac:dyDescent="0.2">
      <c r="A34" s="51" t="s">
        <v>125</v>
      </c>
      <c r="B34">
        <v>22310</v>
      </c>
      <c r="C34">
        <v>0</v>
      </c>
      <c r="D34">
        <v>3</v>
      </c>
      <c r="E34">
        <v>1009332</v>
      </c>
      <c r="F34">
        <v>22315</v>
      </c>
      <c r="G34" s="65">
        <v>0.49890000000000001</v>
      </c>
      <c r="H34">
        <v>22310</v>
      </c>
      <c r="I34">
        <v>22227.232145999998</v>
      </c>
    </row>
    <row r="35" spans="1:9" x14ac:dyDescent="0.2">
      <c r="A35" s="51" t="s">
        <v>125</v>
      </c>
      <c r="B35">
        <v>22310</v>
      </c>
      <c r="C35">
        <v>0</v>
      </c>
      <c r="D35">
        <v>2</v>
      </c>
      <c r="E35">
        <v>1009329</v>
      </c>
      <c r="F35">
        <v>22315</v>
      </c>
      <c r="G35" s="65">
        <v>0.49890000000000001</v>
      </c>
      <c r="H35">
        <v>22310</v>
      </c>
      <c r="I35">
        <v>22227.231899999999</v>
      </c>
    </row>
    <row r="36" spans="1:9" x14ac:dyDescent="0.2">
      <c r="A36" s="51" t="s">
        <v>125</v>
      </c>
      <c r="B36">
        <v>22310</v>
      </c>
      <c r="C36">
        <v>0</v>
      </c>
      <c r="D36">
        <v>6</v>
      </c>
      <c r="E36">
        <v>1009327</v>
      </c>
      <c r="F36">
        <v>22315</v>
      </c>
      <c r="G36" s="65">
        <v>0.49890000000000001</v>
      </c>
      <c r="H36">
        <v>22310</v>
      </c>
      <c r="I36">
        <v>22227.231736000002</v>
      </c>
    </row>
    <row r="37" spans="1:9" x14ac:dyDescent="0.2">
      <c r="A37" s="51" t="s">
        <v>125</v>
      </c>
      <c r="B37">
        <v>22310</v>
      </c>
      <c r="C37">
        <v>0</v>
      </c>
      <c r="D37">
        <v>4</v>
      </c>
      <c r="E37">
        <v>1009321</v>
      </c>
      <c r="F37">
        <v>22315</v>
      </c>
      <c r="G37" s="65">
        <v>0.49890000000000001</v>
      </c>
      <c r="H37">
        <v>22310</v>
      </c>
      <c r="I37">
        <v>22227.231243999999</v>
      </c>
    </row>
    <row r="38" spans="1:9" x14ac:dyDescent="0.2">
      <c r="A38" s="51" t="s">
        <v>125</v>
      </c>
      <c r="B38">
        <v>22310</v>
      </c>
      <c r="C38">
        <v>0</v>
      </c>
      <c r="D38">
        <v>1</v>
      </c>
      <c r="E38">
        <v>1009317</v>
      </c>
      <c r="F38">
        <v>22315</v>
      </c>
      <c r="G38" s="65">
        <v>0.499</v>
      </c>
      <c r="H38">
        <v>22310</v>
      </c>
      <c r="I38">
        <v>22227.230916</v>
      </c>
    </row>
    <row r="39" spans="1:9" x14ac:dyDescent="0.2">
      <c r="A39" s="51" t="s">
        <v>125</v>
      </c>
      <c r="B39">
        <v>22310</v>
      </c>
      <c r="C39">
        <v>0</v>
      </c>
      <c r="D39">
        <v>1</v>
      </c>
      <c r="E39">
        <v>1009316</v>
      </c>
      <c r="F39">
        <v>22315</v>
      </c>
      <c r="G39" s="65">
        <v>0.499</v>
      </c>
      <c r="H39">
        <v>22310</v>
      </c>
      <c r="I39">
        <v>22227.230834000002</v>
      </c>
    </row>
    <row r="40" spans="1:9" x14ac:dyDescent="0.2">
      <c r="A40" s="51" t="s">
        <v>125</v>
      </c>
      <c r="B40">
        <v>22310</v>
      </c>
      <c r="C40">
        <v>0</v>
      </c>
      <c r="D40">
        <v>8</v>
      </c>
      <c r="E40">
        <v>1009315</v>
      </c>
      <c r="F40">
        <v>22315</v>
      </c>
      <c r="G40" s="65">
        <v>0.499</v>
      </c>
      <c r="H40">
        <v>22310</v>
      </c>
      <c r="I40">
        <v>22227.230751999999</v>
      </c>
    </row>
    <row r="41" spans="1:9" x14ac:dyDescent="0.2">
      <c r="A41" s="51" t="s">
        <v>125</v>
      </c>
      <c r="B41">
        <v>22310</v>
      </c>
      <c r="C41">
        <v>0</v>
      </c>
      <c r="D41">
        <v>2</v>
      </c>
      <c r="E41">
        <v>1009307</v>
      </c>
      <c r="F41">
        <v>22315</v>
      </c>
      <c r="G41" s="65">
        <v>0.499</v>
      </c>
      <c r="H41">
        <v>22310</v>
      </c>
      <c r="I41">
        <v>22227.230095999999</v>
      </c>
    </row>
    <row r="42" spans="1:9" x14ac:dyDescent="0.2">
      <c r="A42" s="51" t="s">
        <v>125</v>
      </c>
      <c r="B42">
        <v>22310</v>
      </c>
      <c r="C42">
        <v>0</v>
      </c>
      <c r="D42">
        <v>2</v>
      </c>
      <c r="E42">
        <v>1009305</v>
      </c>
      <c r="F42">
        <v>22315</v>
      </c>
      <c r="G42" s="65">
        <v>0.499</v>
      </c>
      <c r="H42">
        <v>22310</v>
      </c>
      <c r="I42">
        <v>22227.229931000002</v>
      </c>
    </row>
    <row r="43" spans="1:9" x14ac:dyDescent="0.2">
      <c r="A43" s="51" t="s">
        <v>125</v>
      </c>
      <c r="B43">
        <v>22310</v>
      </c>
      <c r="C43">
        <v>0</v>
      </c>
      <c r="D43">
        <v>2</v>
      </c>
      <c r="E43">
        <v>1009303</v>
      </c>
      <c r="F43">
        <v>22315</v>
      </c>
      <c r="G43" s="65">
        <v>0.499</v>
      </c>
      <c r="H43">
        <v>22310</v>
      </c>
      <c r="I43">
        <v>22227.229767000001</v>
      </c>
    </row>
    <row r="44" spans="1:9" x14ac:dyDescent="0.2">
      <c r="A44" s="51" t="s">
        <v>125</v>
      </c>
      <c r="B44">
        <v>22310</v>
      </c>
      <c r="C44">
        <v>0</v>
      </c>
      <c r="D44">
        <v>22</v>
      </c>
      <c r="E44">
        <v>1009301</v>
      </c>
      <c r="F44">
        <v>22315</v>
      </c>
      <c r="G44" s="65">
        <v>0.499</v>
      </c>
      <c r="H44">
        <v>22310</v>
      </c>
      <c r="I44">
        <v>22227.229603</v>
      </c>
    </row>
    <row r="45" spans="1:9" x14ac:dyDescent="0.2">
      <c r="A45" s="51" t="s">
        <v>125</v>
      </c>
      <c r="B45">
        <v>22310</v>
      </c>
      <c r="C45">
        <v>0</v>
      </c>
      <c r="D45">
        <v>2</v>
      </c>
      <c r="E45">
        <v>1009279</v>
      </c>
      <c r="F45">
        <v>22315</v>
      </c>
      <c r="G45" s="65">
        <v>0.499</v>
      </c>
      <c r="H45">
        <v>22310</v>
      </c>
      <c r="I45">
        <v>22227.227799</v>
      </c>
    </row>
    <row r="46" spans="1:9" x14ac:dyDescent="0.2">
      <c r="A46" s="51" t="s">
        <v>125</v>
      </c>
      <c r="B46">
        <v>22310</v>
      </c>
      <c r="C46">
        <v>0</v>
      </c>
      <c r="D46">
        <v>9</v>
      </c>
      <c r="E46">
        <v>1009277</v>
      </c>
      <c r="F46">
        <v>22315</v>
      </c>
      <c r="G46" s="65">
        <v>0.499</v>
      </c>
      <c r="H46">
        <v>22310</v>
      </c>
      <c r="I46">
        <v>22227.227634999999</v>
      </c>
    </row>
    <row r="47" spans="1:9" x14ac:dyDescent="0.2">
      <c r="A47" s="51" t="s">
        <v>125</v>
      </c>
      <c r="B47">
        <v>22310</v>
      </c>
      <c r="C47">
        <v>0</v>
      </c>
      <c r="D47">
        <v>1</v>
      </c>
      <c r="E47">
        <v>1009268</v>
      </c>
      <c r="F47">
        <v>22315</v>
      </c>
      <c r="G47" s="65">
        <v>0.499</v>
      </c>
      <c r="H47">
        <v>22310</v>
      </c>
      <c r="I47">
        <v>22227.226897</v>
      </c>
    </row>
    <row r="48" spans="1:9" x14ac:dyDescent="0.2">
      <c r="A48" s="51" t="s">
        <v>126</v>
      </c>
      <c r="B48">
        <v>22310</v>
      </c>
      <c r="C48">
        <v>0</v>
      </c>
      <c r="D48">
        <v>5</v>
      </c>
      <c r="E48">
        <v>1009267</v>
      </c>
      <c r="F48">
        <v>22315</v>
      </c>
      <c r="G48" s="65">
        <v>0.499</v>
      </c>
      <c r="H48">
        <v>22310</v>
      </c>
      <c r="I48">
        <v>22227.226815000002</v>
      </c>
    </row>
    <row r="49" spans="1:9" x14ac:dyDescent="0.2">
      <c r="A49" s="51" t="s">
        <v>126</v>
      </c>
      <c r="B49">
        <v>22310</v>
      </c>
      <c r="C49">
        <v>0</v>
      </c>
      <c r="D49">
        <v>18</v>
      </c>
      <c r="E49">
        <v>1009262</v>
      </c>
      <c r="F49">
        <v>22315</v>
      </c>
      <c r="G49" s="65">
        <v>0.499</v>
      </c>
      <c r="H49">
        <v>22310</v>
      </c>
      <c r="I49">
        <v>22227.226405000001</v>
      </c>
    </row>
    <row r="50" spans="1:9" x14ac:dyDescent="0.2">
      <c r="A50" s="51" t="s">
        <v>126</v>
      </c>
      <c r="B50">
        <v>22310</v>
      </c>
      <c r="C50">
        <v>0</v>
      </c>
      <c r="D50">
        <v>3</v>
      </c>
      <c r="E50">
        <v>1009244</v>
      </c>
      <c r="F50">
        <v>22315</v>
      </c>
      <c r="G50" s="65">
        <v>0.499</v>
      </c>
      <c r="H50">
        <v>22310</v>
      </c>
      <c r="I50">
        <v>22227.224929</v>
      </c>
    </row>
    <row r="51" spans="1:9" x14ac:dyDescent="0.2">
      <c r="A51" s="51" t="s">
        <v>126</v>
      </c>
      <c r="B51">
        <v>22310</v>
      </c>
      <c r="C51">
        <v>0</v>
      </c>
      <c r="D51">
        <v>5</v>
      </c>
      <c r="E51">
        <v>1009241</v>
      </c>
      <c r="F51">
        <v>22315</v>
      </c>
      <c r="G51" s="65">
        <v>0.499</v>
      </c>
      <c r="H51">
        <v>22310</v>
      </c>
      <c r="I51">
        <v>22227.224683</v>
      </c>
    </row>
    <row r="52" spans="1:9" x14ac:dyDescent="0.2">
      <c r="A52" s="51" t="s">
        <v>126</v>
      </c>
      <c r="B52">
        <v>22310</v>
      </c>
      <c r="C52">
        <v>0</v>
      </c>
      <c r="D52">
        <v>1</v>
      </c>
      <c r="E52">
        <v>1009236</v>
      </c>
      <c r="F52">
        <v>22315</v>
      </c>
      <c r="G52" s="65">
        <v>0.499</v>
      </c>
      <c r="H52">
        <v>22310</v>
      </c>
      <c r="I52">
        <v>22227.224273</v>
      </c>
    </row>
  </sheetData>
  <mergeCells count="2">
    <mergeCell ref="K1:L1"/>
    <mergeCell ref="A1:I1"/>
  </mergeCells>
  <phoneticPr fontId="2"/>
  <dataValidations count="1">
    <dataValidation allowBlank="1" showInputMessage="1" showErrorMessage="1" prompt="足取得期間を0にした上で指定する" sqref="L4:M4" xr:uid="{00000000-0002-0000-0300-000000000000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8"/>
  <sheetViews>
    <sheetView workbookViewId="0">
      <selection activeCell="D5" sqref="D5"/>
    </sheetView>
  </sheetViews>
  <sheetFormatPr defaultColWidth="9" defaultRowHeight="13.2" x14ac:dyDescent="0.2"/>
  <cols>
    <col min="1" max="1" width="12.77734375" style="101" customWidth="1"/>
    <col min="2" max="2" width="13.44140625" style="101" customWidth="1"/>
    <col min="3" max="3" width="11.6640625" style="75" bestFit="1" customWidth="1"/>
    <col min="4" max="4" width="95.88671875" style="101" customWidth="1"/>
    <col min="5" max="16384" width="9" style="101"/>
  </cols>
  <sheetData>
    <row r="1" spans="1:4" x14ac:dyDescent="0.2">
      <c r="A1" s="100" t="s">
        <v>82</v>
      </c>
    </row>
    <row r="2" spans="1:4" x14ac:dyDescent="0.2">
      <c r="A2" s="102" t="e">
        <f ca="1">[1]!fneworder(C5,C6,C7,C8,C9,C10,C11,C12,C13,C14,C15,C16,C17,C18,C19,C20,C21,C22)</f>
        <v>#NAME?</v>
      </c>
      <c r="B2" s="103" t="s">
        <v>111</v>
      </c>
      <c r="C2" s="79"/>
      <c r="D2" s="104"/>
    </row>
    <row r="3" spans="1:4" x14ac:dyDescent="0.2">
      <c r="A3" s="104"/>
      <c r="B3" s="104"/>
      <c r="C3" s="79"/>
      <c r="D3" s="104"/>
    </row>
    <row r="4" spans="1:4" x14ac:dyDescent="0.2">
      <c r="A4" s="173" t="s">
        <v>34</v>
      </c>
      <c r="B4" s="174"/>
      <c r="C4" s="174"/>
      <c r="D4" s="175"/>
    </row>
    <row r="5" spans="1:4" ht="26.4" x14ac:dyDescent="0.2">
      <c r="A5" s="55" t="s">
        <v>45</v>
      </c>
      <c r="B5" s="56" t="s">
        <v>46</v>
      </c>
      <c r="C5" s="99" t="s">
        <v>121</v>
      </c>
      <c r="D5" s="96" t="s">
        <v>118</v>
      </c>
    </row>
    <row r="6" spans="1:4" x14ac:dyDescent="0.2">
      <c r="A6" s="58" t="s">
        <v>47</v>
      </c>
      <c r="B6" s="59" t="s">
        <v>48</v>
      </c>
      <c r="C6" s="77">
        <v>0</v>
      </c>
      <c r="D6" s="60" t="s">
        <v>99</v>
      </c>
    </row>
    <row r="7" spans="1:4" x14ac:dyDescent="0.2">
      <c r="A7" s="58" t="s">
        <v>49</v>
      </c>
      <c r="B7" s="59" t="s">
        <v>50</v>
      </c>
      <c r="C7" s="77">
        <v>1</v>
      </c>
      <c r="D7" s="60" t="s">
        <v>51</v>
      </c>
    </row>
    <row r="8" spans="1:4" ht="39.6" x14ac:dyDescent="0.2">
      <c r="A8" s="58" t="s">
        <v>52</v>
      </c>
      <c r="B8" s="59" t="s">
        <v>53</v>
      </c>
      <c r="C8" s="93" t="s">
        <v>90</v>
      </c>
      <c r="D8" s="94" t="s">
        <v>112</v>
      </c>
    </row>
    <row r="9" spans="1:4" x14ac:dyDescent="0.2">
      <c r="A9" s="58" t="s">
        <v>54</v>
      </c>
      <c r="B9" s="59" t="s">
        <v>55</v>
      </c>
      <c r="C9" s="77">
        <v>1</v>
      </c>
      <c r="D9" s="95" t="s">
        <v>113</v>
      </c>
    </row>
    <row r="10" spans="1:4" x14ac:dyDescent="0.2">
      <c r="A10" s="58" t="s">
        <v>56</v>
      </c>
      <c r="B10" s="59" t="s">
        <v>57</v>
      </c>
      <c r="C10" s="77">
        <v>3</v>
      </c>
      <c r="D10" s="60" t="s">
        <v>58</v>
      </c>
    </row>
    <row r="11" spans="1:4" ht="26.4" x14ac:dyDescent="0.2">
      <c r="A11" s="58" t="s">
        <v>59</v>
      </c>
      <c r="B11" s="59" t="s">
        <v>60</v>
      </c>
      <c r="C11" s="77">
        <v>8</v>
      </c>
      <c r="D11" s="94" t="s">
        <v>115</v>
      </c>
    </row>
    <row r="12" spans="1:4" x14ac:dyDescent="0.2">
      <c r="A12" s="58" t="s">
        <v>61</v>
      </c>
      <c r="B12" s="59" t="s">
        <v>62</v>
      </c>
      <c r="C12" s="77">
        <v>22000</v>
      </c>
      <c r="D12" s="95" t="s">
        <v>114</v>
      </c>
    </row>
    <row r="13" spans="1:4" x14ac:dyDescent="0.2">
      <c r="A13" s="58" t="s">
        <v>63</v>
      </c>
      <c r="B13" s="59" t="s">
        <v>64</v>
      </c>
      <c r="C13" s="77">
        <v>1</v>
      </c>
      <c r="D13" s="60" t="s">
        <v>65</v>
      </c>
    </row>
    <row r="14" spans="1:4" x14ac:dyDescent="0.2">
      <c r="A14" s="58" t="s">
        <v>66</v>
      </c>
      <c r="B14" s="59" t="s">
        <v>100</v>
      </c>
      <c r="C14" s="77">
        <v>0</v>
      </c>
      <c r="D14" s="60" t="s">
        <v>67</v>
      </c>
    </row>
    <row r="15" spans="1:4" x14ac:dyDescent="0.2">
      <c r="A15" s="58" t="s">
        <v>68</v>
      </c>
      <c r="B15" s="59" t="s">
        <v>101</v>
      </c>
      <c r="C15" s="77">
        <v>0</v>
      </c>
      <c r="D15" s="60" t="s">
        <v>67</v>
      </c>
    </row>
    <row r="16" spans="1:4" x14ac:dyDescent="0.2">
      <c r="A16" s="58" t="s">
        <v>102</v>
      </c>
      <c r="B16" s="80" t="s">
        <v>103</v>
      </c>
      <c r="C16" s="77">
        <v>0</v>
      </c>
      <c r="D16" s="60" t="s">
        <v>67</v>
      </c>
    </row>
    <row r="17" spans="1:4" x14ac:dyDescent="0.2">
      <c r="A17" s="58" t="s">
        <v>104</v>
      </c>
      <c r="B17" s="59" t="s">
        <v>69</v>
      </c>
      <c r="C17" s="105"/>
      <c r="D17" s="60" t="s">
        <v>105</v>
      </c>
    </row>
    <row r="18" spans="1:4" x14ac:dyDescent="0.2">
      <c r="A18" s="58" t="s">
        <v>106</v>
      </c>
      <c r="B18" s="59" t="s">
        <v>70</v>
      </c>
      <c r="C18" s="117" t="s">
        <v>107</v>
      </c>
      <c r="D18" s="60" t="s">
        <v>71</v>
      </c>
    </row>
    <row r="19" spans="1:4" x14ac:dyDescent="0.2">
      <c r="A19" s="58" t="s">
        <v>96</v>
      </c>
      <c r="B19" s="80" t="s">
        <v>92</v>
      </c>
      <c r="C19" s="81">
        <v>1</v>
      </c>
      <c r="D19" s="95" t="s">
        <v>122</v>
      </c>
    </row>
    <row r="20" spans="1:4" x14ac:dyDescent="0.2">
      <c r="A20" s="58" t="s">
        <v>108</v>
      </c>
      <c r="B20" s="80" t="s">
        <v>109</v>
      </c>
      <c r="C20" s="79"/>
      <c r="D20" s="60" t="s">
        <v>93</v>
      </c>
    </row>
    <row r="21" spans="1:4" ht="26.4" x14ac:dyDescent="0.2">
      <c r="A21" s="58" t="s">
        <v>110</v>
      </c>
      <c r="B21" s="80" t="s">
        <v>94</v>
      </c>
      <c r="C21" s="78">
        <v>10</v>
      </c>
      <c r="D21" s="98" t="s">
        <v>116</v>
      </c>
    </row>
    <row r="22" spans="1:4" x14ac:dyDescent="0.2">
      <c r="A22" s="61" t="s">
        <v>97</v>
      </c>
      <c r="B22" s="106" t="s">
        <v>95</v>
      </c>
      <c r="C22" s="107">
        <v>22000</v>
      </c>
      <c r="D22" s="108" t="s">
        <v>117</v>
      </c>
    </row>
    <row r="23" spans="1:4" x14ac:dyDescent="0.2">
      <c r="A23" s="100"/>
      <c r="B23" s="74"/>
    </row>
    <row r="24" spans="1:4" x14ac:dyDescent="0.2">
      <c r="A24" s="100"/>
      <c r="B24" s="74"/>
    </row>
    <row r="25" spans="1:4" x14ac:dyDescent="0.2">
      <c r="A25" s="100" t="s">
        <v>83</v>
      </c>
      <c r="B25" s="74"/>
    </row>
    <row r="26" spans="1:4" x14ac:dyDescent="0.2">
      <c r="A26" s="101" t="e">
        <f ca="1">[1]!fneworder(C5,C6,C29,C8,C9,C30,C31,C32,C13,C14,C15,C16,C17,C33,C34,C35,C36,C37)</f>
        <v>#NAME?</v>
      </c>
      <c r="B26" s="109" t="s">
        <v>123</v>
      </c>
    </row>
    <row r="28" spans="1:4" x14ac:dyDescent="0.2">
      <c r="A28" s="173" t="s">
        <v>34</v>
      </c>
      <c r="B28" s="174"/>
      <c r="C28" s="174"/>
      <c r="D28" s="175"/>
    </row>
    <row r="29" spans="1:4" x14ac:dyDescent="0.2">
      <c r="A29" s="55" t="s">
        <v>49</v>
      </c>
      <c r="B29" s="56" t="s">
        <v>50</v>
      </c>
      <c r="C29" s="76">
        <v>2</v>
      </c>
      <c r="D29" s="57" t="s">
        <v>51</v>
      </c>
    </row>
    <row r="30" spans="1:4" x14ac:dyDescent="0.2">
      <c r="A30" s="58" t="s">
        <v>56</v>
      </c>
      <c r="B30" s="59" t="s">
        <v>57</v>
      </c>
      <c r="C30" s="77">
        <v>1</v>
      </c>
      <c r="D30" s="60" t="s">
        <v>58</v>
      </c>
    </row>
    <row r="31" spans="1:4" ht="26.4" x14ac:dyDescent="0.2">
      <c r="A31" s="58" t="s">
        <v>59</v>
      </c>
      <c r="B31" s="59" t="s">
        <v>60</v>
      </c>
      <c r="C31" s="77">
        <v>0</v>
      </c>
      <c r="D31" s="94" t="s">
        <v>115</v>
      </c>
    </row>
    <row r="32" spans="1:4" x14ac:dyDescent="0.2">
      <c r="A32" s="58" t="s">
        <v>61</v>
      </c>
      <c r="B32" s="59" t="s">
        <v>62</v>
      </c>
      <c r="C32" s="77">
        <v>22000</v>
      </c>
      <c r="D32" s="60" t="s">
        <v>72</v>
      </c>
    </row>
    <row r="33" spans="1:5" x14ac:dyDescent="0.2">
      <c r="A33" s="110" t="s">
        <v>86</v>
      </c>
      <c r="B33" s="59" t="s">
        <v>70</v>
      </c>
      <c r="C33" s="77" t="s">
        <v>85</v>
      </c>
      <c r="D33" s="111" t="s">
        <v>71</v>
      </c>
      <c r="E33" s="112"/>
    </row>
    <row r="34" spans="1:5" x14ac:dyDescent="0.2">
      <c r="A34" s="58" t="s">
        <v>96</v>
      </c>
      <c r="B34" s="80" t="s">
        <v>92</v>
      </c>
      <c r="C34" s="81">
        <v>1</v>
      </c>
      <c r="D34" s="95" t="s">
        <v>122</v>
      </c>
    </row>
    <row r="35" spans="1:5" x14ac:dyDescent="0.2">
      <c r="A35" s="58" t="s">
        <v>108</v>
      </c>
      <c r="B35" s="80" t="s">
        <v>109</v>
      </c>
      <c r="C35" s="79"/>
      <c r="D35" s="60" t="s">
        <v>93</v>
      </c>
    </row>
    <row r="36" spans="1:5" ht="26.4" x14ac:dyDescent="0.2">
      <c r="A36" s="58" t="s">
        <v>110</v>
      </c>
      <c r="B36" s="80" t="s">
        <v>94</v>
      </c>
      <c r="C36" s="78">
        <v>10</v>
      </c>
      <c r="D36" s="98" t="s">
        <v>116</v>
      </c>
    </row>
    <row r="37" spans="1:5" x14ac:dyDescent="0.2">
      <c r="A37" s="61" t="s">
        <v>97</v>
      </c>
      <c r="B37" s="106" t="s">
        <v>95</v>
      </c>
      <c r="C37" s="107">
        <v>22000</v>
      </c>
      <c r="D37" s="108" t="s">
        <v>117</v>
      </c>
    </row>
    <row r="40" spans="1:5" x14ac:dyDescent="0.2">
      <c r="A40" s="100" t="s">
        <v>87</v>
      </c>
    </row>
    <row r="41" spans="1:5" x14ac:dyDescent="0.2">
      <c r="A41" s="101" t="e">
        <f ca="1">IF(OR(B43&gt;C12*(1+B44),B43&lt;C12*(1-B45)),[1]!fneworder(C5,C6,C29,C8,C9,C30,C31,C32,C13,C14,C15,C16,C17,C33,C34,C35,C36,C37),"保有")</f>
        <v>#NAME?</v>
      </c>
      <c r="B41" s="109" t="s">
        <v>124</v>
      </c>
    </row>
    <row r="42" spans="1:5" x14ac:dyDescent="0.2">
      <c r="B42" s="113"/>
    </row>
    <row r="43" spans="1:5" x14ac:dyDescent="0.2">
      <c r="A43" s="114" t="s">
        <v>1</v>
      </c>
      <c r="B43" s="115" t="e">
        <f ca="1">[1]!FQUOTE($C$5,$C$6,A43)</f>
        <v>#NAME?</v>
      </c>
    </row>
    <row r="44" spans="1:5" x14ac:dyDescent="0.2">
      <c r="A44" s="114" t="s">
        <v>84</v>
      </c>
      <c r="B44" s="72">
        <v>0.05</v>
      </c>
    </row>
    <row r="45" spans="1:5" x14ac:dyDescent="0.2">
      <c r="A45" s="114" t="s">
        <v>81</v>
      </c>
      <c r="B45" s="72">
        <v>0.05</v>
      </c>
    </row>
    <row r="47" spans="1:5" x14ac:dyDescent="0.2">
      <c r="A47" s="116" t="s">
        <v>88</v>
      </c>
    </row>
    <row r="48" spans="1:5" x14ac:dyDescent="0.2">
      <c r="A48" s="101" t="s">
        <v>89</v>
      </c>
    </row>
  </sheetData>
  <mergeCells count="2">
    <mergeCell ref="A4:D4"/>
    <mergeCell ref="A28:D28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クォート</vt:lpstr>
      <vt:lpstr>板</vt:lpstr>
      <vt:lpstr>四本値</vt:lpstr>
      <vt:lpstr>歩み値</vt:lpstr>
      <vt:lpstr>注文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EiseiShimizu</cp:lastModifiedBy>
  <cp:lastPrinted>2009-04-15T14:08:53Z</cp:lastPrinted>
  <dcterms:created xsi:type="dcterms:W3CDTF">2009-02-12T03:12:29Z</dcterms:created>
  <dcterms:modified xsi:type="dcterms:W3CDTF">2020-12-29T03:12:21Z</dcterms:modified>
</cp:coreProperties>
</file>